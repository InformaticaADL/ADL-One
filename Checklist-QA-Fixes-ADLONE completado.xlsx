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uebas" sheetId="1" r:id="rId4"/>
    <sheet state="visible" name="Resumen" sheetId="2" r:id="rId5"/>
    <sheet state="visible" name="Hallazgos nuevos" sheetId="3" r:id="rId6"/>
    <sheet state="visible" name="Prerequisitos" sheetId="4" r:id="rId7"/>
  </sheets>
  <definedNames>
    <definedName hidden="1" localSheetId="0" name="_xlnm._FilterDatabase">Pruebas!$A$1:$I$1</definedName>
    <definedName hidden="1" localSheetId="2" name="_xlnm._FilterDatabase">'Hallazgos nuevos'!$A$1:$H$1</definedName>
  </definedNames>
  <calcPr/>
  <extLst>
    <ext uri="GoogleSheetsCustomDataVersion2">
      <go:sheetsCustomData xmlns:go="http://customooxmlschemas.google.com/" r:id="rId8" roundtripDataChecksum="5lqUreTvt38yx+BBa6eWqlnUxMe3P4BipPzz1f+m0oc="/>
    </ext>
  </extLst>
</workbook>
</file>

<file path=xl/sharedStrings.xml><?xml version="1.0" encoding="utf-8"?>
<sst xmlns="http://schemas.openxmlformats.org/spreadsheetml/2006/main" count="1174" uniqueCount="441">
  <si>
    <t>#</t>
  </si>
  <si>
    <t>Fase</t>
  </si>
  <si>
    <t>ID</t>
  </si>
  <si>
    <t>Caso de prueba</t>
  </si>
  <si>
    <t>Resultado esperado</t>
  </si>
  <si>
    <t>Resultado obtenido</t>
  </si>
  <si>
    <t>Estado</t>
  </si>
  <si>
    <t>Severidad</t>
  </si>
  <si>
    <t>Notas</t>
  </si>
  <si>
    <t>1</t>
  </si>
  <si>
    <t>MA-05</t>
  </si>
  <si>
    <t>Entrar al maestro EMPRESA DE SERVICIO con 500+ registros</t>
  </si>
  <si>
    <t>No crashea con "Cannot read properties of null (toLowerCase)"</t>
  </si>
  <si>
    <t>ERROR AL INGRESAR AUN A UN MAESTRO CON MUCHOS DATOS
react-dom_client.js?v=1d046a35:7001 TypeError: Cannot read properties of null (reading 'toLowerCase')
    at defaultOptionsFilter (chunk-KYGESVNQ.js?v=1d046a35:15685:22)
    at OptionsDropdown (chunk-KYGESVNQ.js?v=1d046a35:15809:71)
    at Object.react_stack_bottom_frame (react-dom_client.js?v=1d046a35:18509:20)
    at renderWithHooks (react-dom_client.js?v=1d046a35:5654:24)
    at updateFunctionComponent (react-dom_client.js?v=1d046a35:7475:21)
    at beginWork (react-dom_client.js?v=1d046a35:8525:20)
    at runWithFiberInDEV (react-dom_client.js?v=1d046a35:997:72)
    at performUnitOfWork (react-dom_client.js?v=1d046a35:12561:98)
    at workLoopSync (react-dom_client.js?v=1d046a35:12424:43)
    at renderRootSync (react-dom_client.js?v=1d046a35:12408:13)
The above error occurred in the &lt;OptionsDropdown&gt; component.
React will try to recreate this component tree from scratch using the error boundary you provided, ErrorBoundary.
defaultOnCaughtError @ react-dom_client.js?v=1d046a35:7001Understand this error
ErrorBoundary.tsx:24 Uncaught error: TypeError: Cannot read properties of null (reading 'toLowerCase')
    at defaultOptionsFilter (chunk-KYGESVNQ.js?v=1d046a35:15685:22)
    at OptionsDropdown (chunk-KYGESVNQ.js?v=1d046a35:15809:71)
    at Object.react_stack_bottom_frame (react-dom_client.js?v=1d046a35:18509:20)
    at renderWithHooks (react-dom_client.js?v=1d046a35:5654:24)
    at updateFunctionComponent (react-dom_client.js?v=1d046a35:7475:21)
    at beginWork (react-dom_client.js?v=1d046a35:8525:20)
    at runWithFiberInDEV (react-dom_client.js?v=1d046a35:997:72)
    at performUnitOfWork (react-dom_client.js?v=1d046a35:12561:98)
    at workLoopSync (react-dom_client.js?v=1d046a35:12424:43)
    at renderRootSync (react-dom_client.js?v=1d046a35:12408:13) Object
componentDidCatch @ ErrorBoundary.tsx:24Understand this error
notificationStore.ts:124 [Socket] Disconnected: io client disconnect</t>
  </si>
  <si>
    <t>FALLA</t>
  </si>
  <si>
    <t>🔴 Crítico</t>
  </si>
  <si>
    <t/>
  </si>
  <si>
    <t>RB-03</t>
  </si>
  <si>
    <t>Cambiar el rol de un usuario en Gestión de Usuarios</t>
  </si>
  <si>
    <t>No crashea con error toLowerCase</t>
  </si>
  <si>
    <t>En caso de querer cambiar un rol de un usuario que el correo lo tienen mas de un usuario tira error, ESO ES DE ESPERARSE 
En el caso de cambiar el rol de un usuario que su correo sea unico para el , si se puede cmabiar sin problemas</t>
  </si>
  <si>
    <t>PASA</t>
  </si>
  <si>
    <t>ASIGNAR CORREOS CORRESPONDIENTES A CADA USUARIO</t>
  </si>
  <si>
    <t>A-07</t>
  </si>
  <si>
    <t>Asignar fecha de instalación posterior a fecha de retiro</t>
  </si>
  <si>
    <t>Toast de error nombrando los correlativos. No guarda</t>
  </si>
  <si>
    <t>El programa en si no deja agregar una fecha de retiro que sea antes de la  de la de instalacion y asi mismo no deja agregar una fecha de instalacion que sea posterior a la de instalacion  como corresponde</t>
  </si>
  <si>
    <t>A-07 (UI)</t>
  </si>
  <si>
    <t>Input F. Instalación tiene max=retiro; F. Retiro tiene min=instalación</t>
  </si>
  <si>
    <t>Navegador bloquea la combinación inválida</t>
  </si>
  <si>
    <t>bloquea los dias del calendario que no pueden corresponder como el caso de querer poner la fecha de retiro dias antes de la fehca de instalacion }</t>
  </si>
  <si>
    <t>🟡 Alto</t>
  </si>
  <si>
    <t>A-02</t>
  </si>
  <si>
    <t>Intentar elegir fecha anterior a hoy en asignación</t>
  </si>
  <si>
    <t>Navegador bloquea; backend rechaza si manipulan DOM</t>
  </si>
  <si>
    <t>No permite ingresar fecha  anterior a la de hoy en asignacion</t>
  </si>
  <si>
    <t>C-07</t>
  </si>
  <si>
    <t>Reagendar desde calendario con fecha pasada</t>
  </si>
  <si>
    <t>Input min=hoy; no permite seleccionar</t>
  </si>
  <si>
    <t>No deja reajendar con fecha anterior a la del dia actual</t>
  </si>
  <si>
    <t>A-01</t>
  </si>
  <si>
    <t>Lista de asignación NO muestra fichas en PENDIENTE COORDINACIÓN</t>
  </si>
  <si>
    <t>Solo aparecen id_validaciontecnica 5 o 6 con disponibles</t>
  </si>
  <si>
    <t>Solo aparecen pendiente programacion y en proceso</t>
  </si>
  <si>
    <t>A-01 (EN PROCESO)</t>
  </si>
  <si>
    <t>Fichas EN PROCESO sin servicios disponibles no aparecen</t>
  </si>
  <si>
    <t>Filtradas por servicios_disponibles &gt; 0</t>
  </si>
  <si>
    <t xml:space="preserve">No aparecen las fichas que no tengan servicios disponibles, ES DECIR QUE APARECEN SOLO LOS QUE TIENEN SERVICIO POR ASIGNAR </t>
  </si>
  <si>
    <t>R-11</t>
  </si>
  <si>
    <t>Planificador de rutas excluye fichas PENDIENTE COORDINACIÓN</t>
  </si>
  <si>
    <t>Mismo filtro que A-01</t>
  </si>
  <si>
    <t>Solo aparecen estado pendiente y activa</t>
  </si>
  <si>
    <t>A-09 (servicio)</t>
  </si>
  <si>
    <t>Seleccionar Servicio 2 en planificador y guardar</t>
  </si>
  <si>
    <t>Se guarda el Servicio 2, no otro. No fallback silencioso</t>
  </si>
  <si>
    <t>Funciona correctamente</t>
  </si>
  <si>
    <t>A-09 (edge)</t>
  </si>
  <si>
    <t>Servicio elegido pasa a AGENDADO/EJECUTADO/CANCELADO antes de guardar</t>
  </si>
  <si>
    <t>Se omite con toast en vez de guardar incorrecto</t>
  </si>
  <si>
    <t xml:space="preserve">sin guardar no cambia el estado </t>
  </si>
  <si>
    <t>A-09 (403)</t>
  </si>
  <si>
    <t>Usuario con FI_GEST_ASIG abre comparación de versiones de remuestreo</t>
  </si>
  <si>
    <t>Permite abrir el modal (antes daba 403)</t>
  </si>
  <si>
    <t>C-04</t>
  </si>
  <si>
    <t>Abrir ficha YA CANCELADA en calendario</t>
  </si>
  <si>
    <t>Botón Cancelar Muestreo NO aparece</t>
  </si>
  <si>
    <t>Se puede abrir la ficha ya cancelada, y a la ves se puede entrar a ver detalle completo . Pero no se puede guardar cambios</t>
  </si>
  <si>
    <t>C-05</t>
  </si>
  <si>
    <t>Abrir ficha YA EJECUTADA en calendario</t>
  </si>
  <si>
    <t>Botón Cancelar Muestreo NO aparece + backend rechaza</t>
  </si>
  <si>
    <t xml:space="preserve">Lo mismo que al abrir los que fueron cancelados, pueder ver el detalle y ver detalle compelto pero no editar ni guardar cambios </t>
  </si>
  <si>
    <t>C-06 INICIO</t>
  </si>
  <si>
    <t>Cambiar muestreador en evento tipo INICIO, guardar, reabrir</t>
  </si>
  <si>
    <t>Select muestra el muestreador nuevo (no el de retiro)</t>
  </si>
  <si>
    <t>C-06 RETIRO</t>
  </si>
  <si>
    <t>Evento tipo RETIRO muestra muestreador correcto (id_muestreador2)</t>
  </si>
  <si>
    <t>Select muestra muestreador de retiro</t>
  </si>
  <si>
    <t>2</t>
  </si>
  <si>
    <t>F-01a</t>
  </si>
  <si>
    <t>Crear ficha y cerrar modal con "Volver al Menú"</t>
  </si>
  <si>
    <t>Lleva al Listado de Fichas, no al selector</t>
  </si>
  <si>
    <t>Hay campos que no se valida la seleccion "No aplica" esa es una opcion mediante base de datos, deberias hacer consultas mediante consola para verificar, los campos que me refiero es medicion caudal y modalidad, no bloquea como lo teniamos antes forma canal y dispositivo Hidr.
En cuanto a la funcionalidad de Volver al Menú, si funciona redirige orrectamente</t>
  </si>
  <si>
    <t>F-01a (ver)</t>
  </si>
  <si>
    <t>Botón Ver Ficha del modal éxito</t>
  </si>
  <si>
    <t>Lleva al detalle de la ficha recién creada</t>
  </si>
  <si>
    <t>Si funciona correctamente.</t>
  </si>
  <si>
    <t>🟢 Medio</t>
  </si>
  <si>
    <t>F-01b</t>
  </si>
  <si>
    <t>Grabar análisis con normativas/tablas distintas</t>
  </si>
  <si>
    <t>Tabla muestra columnas Normativa y Tabla/Referencia por línea</t>
  </si>
  <si>
    <t>En el grabado si se refleja eso, pero al ver la ficha creada, no manejamos esa logica, solamente en el encabezado una normativa y una referencia.</t>
  </si>
  <si>
    <t>F-01b BD</t>
  </si>
  <si>
    <t>Inspeccionar App_Ma_FichaIngresoServicio_DET</t>
  </si>
  <si>
    <t>Cada fila tiene id_normativa y id_normativareferencia correctos</t>
  </si>
  <si>
    <t>F-01c</t>
  </si>
  <si>
    <t>Campo Número Instrumento (instrumento != Otro)</t>
  </si>
  <si>
    <t>Solo permite dígitos. Placeholder "Solo número (ej: 123)"</t>
  </si>
  <si>
    <t>Permite cualquier elemento, esta mal. El placeholder esta bien</t>
  </si>
  <si>
    <t>F-01c (Otro)</t>
  </si>
  <si>
    <t>Campo Número Instrumento (instrumento = Otro)</t>
  </si>
  <si>
    <t>Permite texto libre. Placeholder "Texto libre"</t>
  </si>
  <si>
    <t>Si permite cualquier elemento, y el placeholder es el correcto.</t>
  </si>
  <si>
    <t>F-01d</t>
  </si>
  <si>
    <t>Campo Año Instrumento</t>
  </si>
  <si>
    <t>Solo dígitos máx 4. Error inline si fuera rango 1900-año+1</t>
  </si>
  <si>
    <t>F-01e</t>
  </si>
  <si>
    <t>Selects de cliente/empresa/fuente/objetivo/etc.</t>
  </si>
  <si>
    <t>No tienen "No Aplica" hardcoded como primera opción</t>
  </si>
  <si>
    <t>F-01e (excepción)</t>
  </si>
  <si>
    <t>Medición Caudal sigue teniendo "No Aplica"</t>
  </si>
  <si>
    <t>Conservado porque es opcional legítimo</t>
  </si>
  <si>
    <t>F-01f (Otro)</t>
  </si>
  <si>
    <t>Instrumento "Otro" + texto en Número</t>
  </si>
  <si>
    <t>BD guarda solo el texto (no "Otro Otro...")</t>
  </si>
  <si>
    <t>Los campos numero de instrumento y año de instrumento son obligatorio, por ende al seleccionar la opcion "Otro"  hay que ingresar numero y año de instrumento.</t>
  </si>
  <si>
    <t>F-01f (vacío)</t>
  </si>
  <si>
    <t>Instrumento seleccionado sin número ni año</t>
  </si>
  <si>
    <t>BD guarda solo el nombre, sin "/"</t>
  </si>
  <si>
    <t>Explicado arriba</t>
  </si>
  <si>
    <t>F-01f (normal)</t>
  </si>
  <si>
    <t>Instrumento "DS 90" + 123 + 2024</t>
  </si>
  <si>
    <t>BD guarda "DS 90 123/2024"</t>
  </si>
  <si>
    <t>F-01g</t>
  </si>
  <si>
    <t>Crear ficha a una hora conocida (ej 15:30)</t>
  </si>
  <si>
    <t>Línea de tiempo muestra hora local correcta (no -4h)</t>
  </si>
  <si>
    <t>F-01g BD</t>
  </si>
  <si>
    <t>Inspeccionar mae_ficha_historial.fecha</t>
  </si>
  <si>
    <t>Tiene hora local de Chile</t>
  </si>
  <si>
    <t>F-11 (analisis)</t>
  </si>
  <si>
    <t>Sin completar Antecedentes, click directo en tab Análisis</t>
  </si>
  <si>
    <t>Toast de error, no cambia de tab</t>
  </si>
  <si>
    <t>No cambia de tab, funciona correctamente</t>
  </si>
  <si>
    <t>F-11 (obs)</t>
  </si>
  <si>
    <t>Sin grabar análisis, click directo en tab Observaciones</t>
  </si>
  <si>
    <t>F-15</t>
  </si>
  <si>
    <t>Cambiar Instrumento Ambiental a "No aplica"</t>
  </si>
  <si>
    <t>Campos Número y Año se vacían y deshabilitan</t>
  </si>
  <si>
    <t>F-15 reverso</t>
  </si>
  <si>
    <t>Cambiar a otro instrumento</t>
  </si>
  <si>
    <t>Campos se habilitan nuevamente</t>
  </si>
  <si>
    <t>F-16 (punto)</t>
  </si>
  <si>
    <t>En Duración escribir 1.5</t>
  </si>
  <si>
    <t>Solo guarda 15 (filtra el punto)</t>
  </si>
  <si>
    <t>No deja escribir puntos, por ende funciona correctamente</t>
  </si>
  <si>
    <t>F-16 (texto)</t>
  </si>
  <si>
    <t>En Duración pegar "horas"</t>
  </si>
  <si>
    <t>No se acepta nada</t>
  </si>
  <si>
    <t>F-35</t>
  </si>
  <si>
    <t>Abrir edición de ficha existente con datos completos</t>
  </si>
  <si>
    <t>Todos los campos prellenados (incluye ubicación, comuna, región, código, ETFA)</t>
  </si>
  <si>
    <t>F-36</t>
  </si>
  <si>
    <t>Tipear rápido en Nueva Observación (modo edición)</t>
  </si>
  <si>
    <t>Sin lag perceptible</t>
  </si>
  <si>
    <t>F-36 (técnica)</t>
  </si>
  <si>
    <t>Tipear rápido en observaciones Técnica/Coordinación</t>
  </si>
  <si>
    <t>Sin lag</t>
  </si>
  <si>
    <t>F-37</t>
  </si>
  <si>
    <t>Guardar edición sin cambios ni observación</t>
  </si>
  <si>
    <t>Guarda con texto por defecto, sin bloquear</t>
  </si>
  <si>
    <t>F-24</t>
  </si>
  <si>
    <t>Ficha con referencia Google Maps + coordenadas</t>
  </si>
  <si>
    <t>Sección "Ubicación" con link, botón, mapa OSM, coords</t>
  </si>
  <si>
    <t>F-25</t>
  </si>
  <si>
    <t>Ficha con link pero sin coordenadas resueltas</t>
  </si>
  <si>
    <t>Muestra link + mensaje "Coordenadas no resueltas"</t>
  </si>
  <si>
    <t>F-24/25 (sin nada)</t>
  </si>
  <si>
    <t>Ficha sin referencia ni coordenadas</t>
  </si>
  <si>
    <t>La sección no aparece</t>
  </si>
  <si>
    <t>F-34</t>
  </si>
  <si>
    <t>Abrir ficha de remuestreo (es_remuestreo=S)</t>
  </si>
  <si>
    <t>WorkflowAlert azul con referencia a ficha original + título incluye "(REMUESTREO DE LA FICHA N° X)"</t>
  </si>
  <si>
    <t>F-40 (creación)</t>
  </si>
  <si>
    <t>Crear ficha nueva, ver historial</t>
  </si>
  <si>
    <t>Aparece evento FICHA CREADA con hora correcta y usuario</t>
  </si>
  <si>
    <t>F-40 (asignación)</t>
  </si>
  <si>
    <t>Asignar fechas/muestreadores, ver historial</t>
  </si>
  <si>
    <t>Aparece "Asignación Masiva"</t>
  </si>
  <si>
    <t>F-40 (aprobación)</t>
  </si>
  <si>
    <t>Aprobar/Rechazar técnica, ver historial</t>
  </si>
  <si>
    <t>Aparece evento correspondiente</t>
  </si>
  <si>
    <t>3</t>
  </si>
  <si>
    <t>R-05 crear</t>
  </si>
  <si>
    <t>Crear grupo con nombre existente (mismo case)</t>
  </si>
  <si>
    <t>Error 409 "Ya existe un grupo con ese nombre"</t>
  </si>
  <si>
    <t xml:space="preserve">Solo dice error al guardar el grupo, no dice por que. 
Logs:
2026-05-26 15:00:37 [error]: Error actualizando grupo: Validation failed for parameter 'grupo'. Invalid number. {"service":"adl-one-api","code":"EPARAM","originalError":{"code":"EPARAM"},"name":"RequestError","number":"EPARAM","precedingErrors":[],"stack":"RequestError: Validation failed for parameter 'grupo'. Invalid number.\n 
   at C:\\Users\\vremolcoy\\Desktop\\ADL ONE\\api-backend-adlone\\node_modules\\mssql\\lib\\tedious\\request.js:449:19\n    at Array.forEach (&lt;anonymous&gt;)\n    at Request.userCallback (C:\\Users\\vremolcoy\\Desktop\\ADL 
ONE\\api-backend-adlone\\node_modules\\mssql\\lib\\tedious\\request.js:446:46)\n    at Request.callback (C:\\Users\\vremolcoy\\Desktop\\ADL ONE\\api-backend-adlone\\node_modules\\tedious\\lib\\request.js:239:14)\n    at 
C:\\Users\\vremolcoy\\Desktop\\ADL ONE\\api-backend-adlone\\node_modules\\tedious\\lib\\connection.js:1616:17\n    at process.processTicksAndRejections (node:internal/process/task_queues:77:11)"}
2026-05-26 15:00:37 [error]: Error actualizando grupo: Validation failed for parameter 'grupo'. Invalid number. {"service":"adl-one-api","code":"EPARAM","originalError":{"code":"EPARAM"},"name":"RequestError","number":"EPARAM","precedingErrors":[],"stack":"RequestError: Validation failed for parameter 'grupo'. Invalid number.\n 
   at C:\\Users\\vremolcoy\\Desktop\\ADL ONE\\api-backend-adlone\\node_modules\\mssql\\lib\\tedious\\request.js:449:19\n    at Array.forEach (&lt;anonymous&gt;)\n    at Request.userCallback (C:\\Users\\vremolcoy\\Desktop\\ADL 
ONE\\api-backend-adlone\\node_modules\\mssql\\lib\\tedious\\request.js:446:46)\n    at Request.callback (C:\\Users\\vremolcoy\\Desktop\\ADL ONE\\api-backend-adlone\\node_modules\\tedious\\lib\\request.js:239:14)\n    at 
C:\\Users\\vremolcoy\\Desktop\\ADL ONE\\api-backend-adlone\\node_modules\\tedious\\lib\\connection.js:1616:17\n    at process.processTicksAndRejections (node:internal/process/task_queues:77:11)"}
2026-05-26 15:00:37 [info]: PUT /api/rutas-planificadas/grupos/4 500 6.087 ms - 125 {"service":"adl-one-api"} 
2026-05-26 15:00:37 [info]: PUT /api/rutas-planificadas/grupos/4 500 6.087 ms - 125 {"service":"adl-one-api"} 
</t>
  </si>
  <si>
    <t>R-05 case</t>
  </si>
  <si>
    <t>Crear grupo con nombre existente en distinto case (MANTENCIÓN vs Mantención)</t>
  </si>
  <si>
    <t>Error 409 (case-insensitive)</t>
  </si>
  <si>
    <t>mismo error no deja crear el grupo</t>
  </si>
  <si>
    <t>R-05 editar</t>
  </si>
  <si>
    <t>Renombrar grupo a uno que ya existe</t>
  </si>
  <si>
    <t>Error 409</t>
  </si>
  <si>
    <t>No deja da error.</t>
  </si>
  <si>
    <t>R-08</t>
  </si>
  <si>
    <t>Eliminar grupo con rutas → quedan en "Sin grupo"</t>
  </si>
  <si>
    <t>Header muestra botón "Asignar a grupo" o "N sin grupo — asignar"</t>
  </si>
  <si>
    <t>R-08 (1 ruta)</t>
  </si>
  <si>
    <t>Sin grupo con 1 ruta → click en botón</t>
  </si>
  <si>
    <t>Abre modal de Cambiar grupo para esa ruta</t>
  </si>
  <si>
    <t>C-09</t>
  </si>
  <si>
    <t>Placeholder del buscador de calendario</t>
  </si>
  <si>
    <t>Dice "N° ficha, correlativo, empresa, muestreador..."</t>
  </si>
  <si>
    <t>C-09 (buscar)</t>
  </si>
  <si>
    <t>Buscar por correlativo en calendario</t>
  </si>
  <si>
    <t>Filtra correctamente</t>
  </si>
  <si>
    <t>C-01</t>
  </si>
  <si>
    <t>Ficha con solo fecha de retiro asignada (sin muestreo)</t>
  </si>
  <si>
    <t>Aparece en calendario en el mes del retiro</t>
  </si>
  <si>
    <t>Eso no es aceptable, si asignamos fechas debemos asignar instalacion y retiro, no vamos a encontrar fichas con solo retiro agendado</t>
  </si>
  <si>
    <t>A-05</t>
  </si>
  <si>
    <t>En asignación, solo fecha (sin muestreador)</t>
  </si>
  <si>
    <t>Permite guardar; muestreador conserva valor previo</t>
  </si>
  <si>
    <t xml:space="preserve">No permite realizar eso.
Logs:
2026-05-26 15:09:00 [info]: GET /api/fichas/98/assignment-detail 200 265.536 ms - - {"service":"adl-one-api"}
2026-05-26 15:09:00 [info]: GET /api/catalogos/muestreadores 200 10.965 ms - 770 {"service":"adl-one-api"}
2026-05-26 15:09:00 [info]: GET /api/catalogos/muestreadores 200 10.965 ms - 770 {"service":"adl-one-api"}    
2026-05-26 15:09:00 [info]: GET /api/fichas/98/assignment-detail 200 272.845 ms - - {"service":"adl-one-api"}
2026-05-26 15:09:00 [info]: GET /api/fichas/98/assignment-detail 200 272.845 ms - - {"service":"adl-one-api"}
2026-05-26 15:11:11 [warn]: Validation error on POST /batch-agenda: body.assignments.0.idMuestreadorInstalacion: "body.assignments[0].idMuestreadorInstalacion" must be one of [number, string], body.assignments.0.idMuestreadorRetiro: "body.assignments[0].idMuestreadorRetiro" must be one of [number, string] {"service":"adl-one-api"}
2026-05-26 15:11:11 [warn]: Validation error on POST /batch-agenda: body.assignments.0.idMuestreadorInstalacion: "body.assignments[0].idMuestreadorInstalacion" must be one of [number, string], body.assignments.0.idMuestreadorRetiro: "body.assignments[0].idMuestreadorRetiro" must be one of [number, string] {"service":"adl-one-api"}
2026-05-26 15:11:11 [info]: POST /api/fichas/batch-agenda 400 7.123 ms - 346 {"service":"adl-one-api"}        
2026-05-26 15:11:11 [info]: POST /api/fichas/batch-agenda 400 7.123 ms - 346 {"service":"adl-one-api"}        
2026-05-26 15:11:28 [warn]: Validation error on POST /batch-agenda: body.assignments.0.idMuestreadorInstalacion: "body.assignments[0].idMuestreadorInstalacion" must be one of [number, string], body.assignments.0.idMuestreadorRetiro: "body.assignments[0].idMuestreadorRetiro" must be one of [number, string] {"service":"adl-one-api"}
2026-05-26 15:11:28 [warn]: Validation error on POST /batch-agenda: body.assignments.0.idMuestreadorInstalacion: "body.assignments[0].idMuestreadorInstalacion" must be one of [number, string], body.assignments.0.idMuestreadorRetiro: "body.assignments[0].idMuestreadorRetiro" must be one of [number, string] {"service":"adl-one-api"}
2026-05-26 15:11:28 [info]: POST /api/fichas/batch-agenda 400 3.396 ms - 346 {"service":"adl-one-api"}        
2026-05-26 15:11:28 [info]: POST /api/fichas/batch-agenda 400 3.396 ms - 346 {"service":"adl-one-api"}        
</t>
  </si>
  <si>
    <t>A-06</t>
  </si>
  <si>
    <t>En asignación, solo muestreador (sin fecha)</t>
  </si>
  <si>
    <t>Permite guardar; fecha conserva valor previo</t>
  </si>
  <si>
    <t xml:space="preserve">Mismo error:
Logs:
2026-05-26 15:11:11 [info]: POST /api/fichas/batch-agenda 400 7.123 ms - 346 {"service":"adl-one-api"}        
2026-05-26 15:11:11 [info]: POST /api/fichas/batch-agenda 400 7.123 ms - 346 {"service":"adl-one-api"}        
2026-05-26 15:11:28 [warn]: Validation error on POST /batch-agenda: body.assignments.0.idMuestreadorInstalacion: "body.assignments[0].idMuestreadorInstalacion" must be one of [number, string], body.assignments.0.idMuestreadorRetiro: "body.assignments[0].idMuestreadorRetiro" must be one of [number, string] {"service":"adl-one-api"}
2026-05-26 15:11:28 [warn]: Validation error on POST /batch-agenda: body.assignments.0.idMuestreadorInstalacion: "body.assignments[0].idMuestreadorInstalacion" must be one of [number, string], body.assignments.0.idMuestreadorRetiro: "body.assignments[0].idMuestreadorRetiro" must be one of [number, string] {"service":"adl-one-api"}
2026-05-26 15:11:28 [info]: POST /api/fichas/batch-agenda 400 3.396 ms - 346 {"service":"adl-one-api"}        
2026-05-26 15:11:28 [info]: POST /api/fichas/batch-agenda 400 3.396 ms - 346 {"service":"adl-one-api"}        
2026-05-26 15:12:38 [warn]: Validation error on POST /batch-agenda: body.assignments.0.fecha: "body.assignments[0].fecha" must be one of [date, string] {"service":"adl-one-api"}
2026-05-26 15:12:38 [warn]: Validation error on POST /batch-agenda: body.assignments.0.fecha: "body.assignments[0].fecha" must be one of [date, string] {"service":"adl-one-api"}
2026-05-26 15:12:38 [info]: POST /api/fichas/batch-agenda 400 2.675 ms - 188 {"service":"adl-one-api"}        
2026-05-26 15:12:38 [info]: POST /api/fichas/batch-agenda 400 2.675 ms - 188 {"service":"adl-one-api"}        
</t>
  </si>
  <si>
    <t>A-05/06 (vacío)</t>
  </si>
  <si>
    <t>Sin ningún dato en ninguna fila</t>
  </si>
  <si>
    <t>Toast "Debe ingresar al menos una fecha o un muestreador..."</t>
  </si>
  <si>
    <t>M-06</t>
  </si>
  <si>
    <t>Descargar PDF de ficha con muestreo ejecutado</t>
  </si>
  <si>
    <t>PDF incluye sección "Datos de Ejecución del Muestreo" con totalizadores y fechas reales</t>
  </si>
  <si>
    <t>M-06 (sin ejec)</t>
  </si>
  <si>
    <t>PDF de ficha sin muestreos ejecutados</t>
  </si>
  <si>
    <t>No aparece la sección extra, solo la tabla de asignación</t>
  </si>
  <si>
    <t>R-09</t>
  </si>
  <si>
    <t>Ver historial de ejecuciones de una ruta</t>
  </si>
  <si>
    <t>Modal abre con ejecuciones registradas</t>
  </si>
  <si>
    <t>R-03</t>
  </si>
  <si>
    <t>Seleccionar fichas en planificador de rutas</t>
  </si>
  <si>
    <t>Polyline solo aparece DESPUÉS del cálculo OSRM (no línea recta intermedia)</t>
  </si>
  <si>
    <t>4</t>
  </si>
  <si>
    <t>E-01 (step1)</t>
  </si>
  <si>
    <t>En crear equipo, click "Siguiente"</t>
  </si>
  <si>
    <t>Pasa al step de Bulk Check</t>
  </si>
  <si>
    <t>E-01 (guardar)</t>
  </si>
  <si>
    <t>En step Bulk Check, click "Guardar Todo"</t>
  </si>
  <si>
    <t>Abre modal de confirmación y luego guarda</t>
  </si>
  <si>
    <t>E-01 (asociado)</t>
  </si>
  <si>
    <t>Dropdown "Equipo Asociado" en formulario</t>
  </si>
  <si>
    <t>Muestra "CÓDIGO - Nombre", no IDs crudos. Es searchable</t>
  </si>
  <si>
    <t>MS-05 (label)</t>
  </si>
  <si>
    <t>Editar muestreador → ver campo Clave</t>
  </si>
  <si>
    <t>Label "Clave de Acceso (opcional)", no required</t>
  </si>
  <si>
    <t>MS-05 (vacío)</t>
  </si>
  <si>
    <t>Editar muestreador sin escribir clave</t>
  </si>
  <si>
    <t>Conserva la clave actual (probar login)</t>
  </si>
  <si>
    <t>MS-05 (cambio)</t>
  </si>
  <si>
    <t>Editar muestreador con clave nueva</t>
  </si>
  <si>
    <t>Cambia la clave correctamente</t>
  </si>
  <si>
    <t>MS-06</t>
  </si>
  <si>
    <t>Intentar subir PDF como firma</t>
  </si>
  <si>
    <t>Toast error "La firma debe ser una imagen PNG o JPG"</t>
  </si>
  <si>
    <t>MS-07</t>
  </si>
  <si>
    <t>Subir imagen &gt; 2 MB como firma</t>
  </si>
  <si>
    <t>Toast error con tamaño real y máximo</t>
  </si>
  <si>
    <t>MS-04</t>
  </si>
  <si>
    <t>Deshabilitar muestreador con asignaciones futuras</t>
  </si>
  <si>
    <t>Alert rojo con conteo y hasta 5 ejemplos de muestreos pendientes</t>
  </si>
  <si>
    <t>MS-04 (sin)</t>
  </si>
  <si>
    <t>Deshabilitar muestreador SIN asignaciones futuras</t>
  </si>
  <si>
    <t>No aparece el Alert de advertencia</t>
  </si>
  <si>
    <t>MS-01</t>
  </si>
  <si>
    <t>Como admin con AI_MA_CREAR_NEW_MUESTREADOR</t>
  </si>
  <si>
    <t>Ve botón "Nuevo Muestreador"</t>
  </si>
  <si>
    <t>Ese no es el permiso de nuevo muestreador, es este: AI_MA_CREAR_NUEVO_MUESTREADOR</t>
  </si>
  <si>
    <t>MS-02</t>
  </si>
  <si>
    <t>Crear muestreador con nombre/correo existente</t>
  </si>
  <si>
    <t>Advertencia de duplicado</t>
  </si>
  <si>
    <t>5</t>
  </si>
  <si>
    <t>S-01</t>
  </si>
  <si>
    <t>Ver el formulario de login</t>
  </si>
  <si>
    <t>Label "Usuario" (no "Usuario / Email"), placeholder "ej: jperez"</t>
  </si>
  <si>
    <t>S-11</t>
  </si>
  <si>
    <t>Login con espacios al inicio/final del usuario y contraseña</t>
  </si>
  <si>
    <t>Inicia sesión correctamente (trim)</t>
  </si>
  <si>
    <t>S-02</t>
  </si>
  <si>
    <t>Login con clave en mayúsculas distintas a la guardada</t>
  </si>
  <si>
    <t>Falla con "Credenciales inválidas"</t>
  </si>
  <si>
    <t>S-02 (usuario)</t>
  </si>
  <si>
    <t>Login con username en distinto case</t>
  </si>
  <si>
    <t>Funciona (username sigue case-insensitive)</t>
  </si>
  <si>
    <t>S-03 (404)</t>
  </si>
  <si>
    <t>Login con usuario inexistente</t>
  </si>
  <si>
    <t>Mensaje "Usuario inexistente" (HTTP 404)</t>
  </si>
  <si>
    <t>S-03 (401)</t>
  </si>
  <si>
    <t>Login con usuario válido + clave incorrecta</t>
  </si>
  <si>
    <t>Mensaje "Credenciales inválidas" (HTTP 401)</t>
  </si>
  <si>
    <t>S-03 (403)</t>
  </si>
  <si>
    <t>Login con usuario deshabilitado</t>
  </si>
  <si>
    <t>Mensaje "Usuario deshabilitado" (HTTP 403)</t>
  </si>
  <si>
    <t>S-13 bloqueo</t>
  </si>
  <si>
    <t>Fallar login 5 veces seguidas</t>
  </si>
  <si>
    <t>Al 6to intento: "Demasiados intentos fallidos. Inténtelo en N minutos" (HTTP 423)</t>
  </si>
  <si>
    <t>No funciona esa logica, siempre sale credenciales invalidas.</t>
  </si>
  <si>
    <t>S-13 reset</t>
  </si>
  <si>
    <t>Login exitoso después de fallar 2-3 veces</t>
  </si>
  <si>
    <t>Contador se resetea</t>
  </si>
  <si>
    <t>No funciona esa loigca</t>
  </si>
  <si>
    <t>S-13 BD</t>
  </si>
  <si>
    <t>Inspeccionar mae_login_attempts</t>
  </si>
  <si>
    <t>Tiene failed_count y locked_until poblados</t>
  </si>
  <si>
    <t>si registra todo bien la tabla, pero no se bloquea la cuenta</t>
  </si>
  <si>
    <t>S-07</t>
  </si>
  <si>
    <t>Esperar expiración del JWT o forzar invalidación</t>
  </si>
  <si>
    <t>Próxima petición: logout automático con mensaje "Tu sesión fue cerrada..."</t>
  </si>
  <si>
    <t>Cuanto tiempo deberia de durar el token?</t>
  </si>
  <si>
    <t>S-14 enviado</t>
  </si>
  <si>
    <t>Clic en "¿Olvidaste tu contraseña?" + email registrado</t>
  </si>
  <si>
    <t>Mensaje genérico "Si el email está registrado..."</t>
  </si>
  <si>
    <t>S-15 genérico</t>
  </si>
  <si>
    <t>Solicitar reset con email NO registrado</t>
  </si>
  <si>
    <t>Mismo mensaje genérico (no revela existencia)</t>
  </si>
  <si>
    <t>Envia un mensaje de reset igual aun que el email no este registrado entre los usuarios, deberia decir no hemos encontrado tu cuenta..</t>
  </si>
  <si>
    <t>S-14 email</t>
  </si>
  <si>
    <t>Verificar inbox del email registrado</t>
  </si>
  <si>
    <t>Llega el correo con link válido por 60 min</t>
  </si>
  <si>
    <t>S-16 link válido</t>
  </si>
  <si>
    <t>Abrir el link del email</t>
  </si>
  <si>
    <t>Muestra form de Reset con nombre de usuario</t>
  </si>
  <si>
    <t>S-16 manipulado</t>
  </si>
  <si>
    <t>Modificar el token en la URL</t>
  </si>
  <si>
    <t>Muestra "El link no es válido"</t>
  </si>
  <si>
    <t>S-16 usado</t>
  </si>
  <si>
    <t>Usar el link dos veces</t>
  </si>
  <si>
    <t>Segunda vez: "El link ya fue utilizado"</t>
  </si>
  <si>
    <t>S-16 expirado</t>
  </si>
  <si>
    <t>Esperar &gt; 60 min y abrir el link</t>
  </si>
  <si>
    <t>Muestra "El link ha expirado"</t>
  </si>
  <si>
    <t>S-17</t>
  </si>
  <si>
    <t>Solicitar reset dos veces seguidas</t>
  </si>
  <si>
    <t>Solo el último link funciona; el primero queda inválido</t>
  </si>
  <si>
    <t>Reset aplicar</t>
  </si>
  <si>
    <t>Aplicar nueva clave + intentar login</t>
  </si>
  <si>
    <t>Login funciona con nueva clave</t>
  </si>
  <si>
    <t>Reset bloqueo</t>
  </si>
  <si>
    <t>Si el usuario estaba bloqueado por intentos, completar reset</t>
  </si>
  <si>
    <t>Bloqueo se limpia automáticamente</t>
  </si>
  <si>
    <t>Logica no funciona</t>
  </si>
  <si>
    <t>RB-01 overlay</t>
  </si>
  <si>
    <t>Abrir modal Crear Nuevo Usuario</t>
  </si>
  <si>
    <t>NO se ve overlay blanco residual detrás del modal</t>
  </si>
  <si>
    <t>Sigue apareciendo un milisegundo</t>
  </si>
  <si>
    <t>RB-01 lag</t>
  </si>
  <si>
    <t>Tipear en campos del modal de crear usuario</t>
  </si>
  <si>
    <t>Funciona correctametne</t>
  </si>
  <si>
    <t>RB-04</t>
  </si>
  <si>
    <t>Usuario A logueado, admin lo deshabilita desde otra sesión</t>
  </si>
  <si>
    <t>Próxima petición: A se desloguea automáticamente con mensaje</t>
  </si>
  <si>
    <t>No funciona, el usuario sigue logueado</t>
  </si>
  <si>
    <t>RB-07</t>
  </si>
  <si>
    <t>Cambiar permisos de un usuario logueado</t>
  </si>
  <si>
    <t>Próxima petición: se desloguea (mismo mecanismo permisos_version)</t>
  </si>
  <si>
    <t>No funciona el usuario sigue logueado</t>
  </si>
  <si>
    <t>RB-08 BD</t>
  </si>
  <si>
    <t>Verificar referencias a AI_MA_ADMIN_ACCESO</t>
  </si>
  <si>
    <t>Backend verifyPermission y frontend AuthContext NO lo chequean</t>
  </si>
  <si>
    <t>Esos permisos ya no se usan si es que estan hardcodeados, todos los permisos que usamos estan mediante base de datos</t>
  </si>
  <si>
    <t>RB-09</t>
  </si>
  <si>
    <t>Deshabilitar rol que tiene N usuarios</t>
  </si>
  <si>
    <t>Modal de confirmación dice "N usuarios perderán sus permisos..."</t>
  </si>
  <si>
    <t>6</t>
  </si>
  <si>
    <t>MA-01 vacío</t>
  </si>
  <si>
    <t>Crear registro de maestro con todos los campos vacíos</t>
  </si>
  <si>
    <t>Toast "Debe completar al menos un campo para guardar"</t>
  </si>
  <si>
    <t xml:space="preserve">No se puede crear un registro de un maestro con datos vacios, lo cual corresponde con la logica </t>
  </si>
  <si>
    <t>MA-01 display</t>
  </si>
  <si>
    <t>Crear registro sin el campo principal (display) lleno</t>
  </si>
  <si>
    <t>Toast "Faltan campos obligatorios: &lt;nombre&gt;"</t>
  </si>
  <si>
    <t xml:space="preserve">Si algun campo esta vacio, no permite completar el registro </t>
  </si>
  <si>
    <t>MA-03</t>
  </si>
  <si>
    <t>Deshabilitar registro maestro</t>
  </si>
  <si>
    <t>Confirm() del browser con advertencia de uso en fichas activas</t>
  </si>
  <si>
    <t xml:space="preserve">Funciona correctamente el proceso de deshabilitar y habilitar </t>
  </si>
  <si>
    <t>MA-03 cancel</t>
  </si>
  <si>
    <t>Cancelar el confirm</t>
  </si>
  <si>
    <t>No se deshabilita el registro</t>
  </si>
  <si>
    <t>Funciona correctamente  al apretar deshabilitar</t>
  </si>
  <si>
    <t>N-04</t>
  </si>
  <si>
    <t>Click en "Marcar todas como leídas"</t>
  </si>
  <si>
    <t>Badge baja a 0; notificaciones quedan sin fondo azul</t>
  </si>
  <si>
    <t xml:space="preserve">Funciona y deja la bandeja vacia </t>
  </si>
  <si>
    <t>CH-03 PDF</t>
  </si>
  <si>
    <t>Enviar PDF como adjunto en chat</t>
  </si>
  <si>
    <t>Aparece icono rojo PDF (no genérico)</t>
  </si>
  <si>
    <t>Aparece el icono azul , deveria aparecer en ROJO</t>
  </si>
  <si>
    <t>CH-03 Excel</t>
  </si>
  <si>
    <t>Enviar XLSX como adjunto en chat</t>
  </si>
  <si>
    <t>Aparece icono verde Excel</t>
  </si>
  <si>
    <t>aparece en azul , no en verde en el chat</t>
  </si>
  <si>
    <t>CH-03 Word</t>
  </si>
  <si>
    <t>Enviar DOCX como adjunto en chat</t>
  </si>
  <si>
    <t>Aparece icono azul Word</t>
  </si>
  <si>
    <t>Aparece en azul pero no como corresponde a word</t>
  </si>
  <si>
    <t>CH-03 ZIP</t>
  </si>
  <si>
    <t>Enviar ZIP/RAR como adjunto en chat</t>
  </si>
  <si>
    <t>Aparece icono específico</t>
  </si>
  <si>
    <t>No aparece el icono en el color correspondiente ni el icono correspondiente</t>
  </si>
  <si>
    <t>CH-04</t>
  </si>
  <si>
    <t>Intentar enviar archivo &gt; 25 MB en chat</t>
  </si>
  <si>
    <t>Mensaje de error con nombre y límite</t>
  </si>
  <si>
    <t xml:space="preserve">AL sobrepasar el limite aparece mensaje en rojo </t>
  </si>
  <si>
    <t>X-10</t>
  </si>
  <si>
    <t>Parar el backend mientras se está logueado</t>
  </si>
  <si>
    <t>Aparece banner naranjo "Sin conexión en tiempo real..."</t>
  </si>
  <si>
    <t>X-10 recup</t>
  </si>
  <si>
    <t>Reiniciar el backend</t>
  </si>
  <si>
    <t>Banner desaparece cuando socket reconecta</t>
  </si>
  <si>
    <t>X-08</t>
  </si>
  <si>
    <t>Solicitar reset de password para usuario con nombre &lt;script&gt;</t>
  </si>
  <si>
    <t>Email muestra el nombre como texto literal (no ejecuta)</t>
  </si>
  <si>
    <t>Total</t>
  </si>
  <si>
    <t>✅ PASA</t>
  </si>
  <si>
    <t>❌ FALLA</t>
  </si>
  <si>
    <t>⏸️ BLOQUEADO</t>
  </si>
  <si>
    <t>⏳ PENDIENTE</t>
  </si>
  <si>
    <t>% Avance</t>
  </si>
  <si>
    <t>1 — Crashes y críticos</t>
  </si>
  <si>
    <t>2 — Fichas</t>
  </si>
  <si>
    <t>3 — Rutas/Calendario/Asignación</t>
  </si>
  <si>
    <t>4 — Equipos/Muestreadores</t>
  </si>
  <si>
    <t>5 — Auth/Reset/RBAC</t>
  </si>
  <si>
    <t>6 — Polish UX</t>
  </si>
  <si>
    <t>TOTAL</t>
  </si>
  <si>
    <t>Sección</t>
  </si>
  <si>
    <t>Descripción</t>
  </si>
  <si>
    <t>Pasos para reproducir</t>
  </si>
  <si>
    <t>Asignado a</t>
  </si>
  <si>
    <t>Fecha</t>
  </si>
  <si>
    <t>Paso</t>
  </si>
  <si>
    <t>Listo</t>
  </si>
  <si>
    <t>SQL ejecutado: db-migrations/phase5-auth-tables.sql</t>
  </si>
  <si>
    <t>Variable FRONTEND_URL agregada al .env del backend (ej: http://localhost:5173)</t>
  </si>
  <si>
    <t>Backend reiniciado (npm run dev en api-backend-adlone/)</t>
  </si>
  <si>
    <t>Frontend corriendo (npm run dev en frontend-adlone/)</t>
  </si>
  <si>
    <t>SMTP del backend verificado con un envío de prueba</t>
  </si>
  <si>
    <t>Tener al menos 1 usuario admin y 1 usuario regular para pruebas RB-04/RB-07</t>
  </si>
  <si>
    <t>Tener al menos 1 ficha existente para probar edición (F-35, F-36, F-37)</t>
  </si>
  <si>
    <t>Tener al menos 1 ficha de remuestreo para probar F-34 / A-09</t>
  </si>
  <si>
    <t>Browser con consola Network abierta para verificar status HTTP</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</si>
</sst>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rgb="FFFFFFFF"/>
      <name val="Calibri"/>
      <scheme val="minor"/>
    </font>
    <font>
      <sz val="11.0"/>
      <color theme="1"/>
      <name val="Calibri"/>
    </font>
    <font>
      <b/>
      <color theme="1"/>
      <name val="Calibri"/>
      <scheme val="minor"/>
    </font>
    <font>
      <b/>
      <color rgb="FF991B1B"/>
      <name val="Calibri"/>
      <scheme val="minor"/>
    </font>
    <font>
      <b/>
      <color rgb="FF92400E"/>
      <name val="Calibri"/>
      <scheme val="minor"/>
    </font>
    <font>
      <b/>
      <color rgb="FF065F46"/>
      <name val="Calibri"/>
      <scheme val="minor"/>
    </font>
    <font>
      <color theme="1"/>
      <name val="Calibri"/>
      <scheme val="minor"/>
    </font>
    <font>
      <b/>
      <sz val="12.0"/>
      <color theme="1"/>
      <name val="Calibri"/>
      <scheme val="minor"/>
    </font>
  </fonts>
  <fills count="14">
    <fill>
      <patternFill patternType="none"/>
    </fill>
    <fill>
      <patternFill patternType="lightGray"/>
    </fill>
    <fill>
      <patternFill patternType="solid">
        <fgColor rgb="FF1E40AF"/>
        <bgColor rgb="FF1E40AF"/>
      </patternFill>
    </fill>
    <fill>
      <patternFill patternType="solid">
        <fgColor rgb="FFFEE2E2"/>
        <bgColor rgb="FFFEE2E2"/>
      </patternFill>
    </fill>
    <fill>
      <patternFill patternType="solid">
        <fgColor rgb="FFFECACA"/>
        <bgColor rgb="FFFECACA"/>
      </patternFill>
    </fill>
    <fill>
      <patternFill patternType="solid">
        <fgColor rgb="FFFEF3C7"/>
        <bgColor rgb="FFFEF3C7"/>
      </patternFill>
    </fill>
    <fill>
      <patternFill patternType="solid">
        <fgColor rgb="FFD1FAE5"/>
        <bgColor rgb="FFD1FAE5"/>
      </patternFill>
    </fill>
    <fill>
      <patternFill patternType="solid">
        <fgColor rgb="FFFFE4E6"/>
        <bgColor rgb="FFFFE4E6"/>
      </patternFill>
    </fill>
    <fill>
      <patternFill patternType="solid">
        <fgColor rgb="FFE0E7FF"/>
        <bgColor rgb="FFE0E7FF"/>
      </patternFill>
    </fill>
    <fill>
      <patternFill patternType="solid">
        <fgColor rgb="FFDBEAFE"/>
        <bgColor rgb="FFDBEAFE"/>
      </patternFill>
    </fill>
    <fill>
      <patternFill patternType="solid">
        <fgColor rgb="FFE5E7EB"/>
        <bgColor rgb="FFE5E7EB"/>
      </patternFill>
    </fill>
    <fill>
      <patternFill patternType="solid">
        <fgColor rgb="FF059669"/>
        <bgColor rgb="FF059669"/>
      </patternFill>
    </fill>
    <fill>
      <patternFill patternType="solid">
        <fgColor rgb="FFDC2626"/>
        <bgColor rgb="FFDC2626"/>
      </patternFill>
    </fill>
    <fill>
      <patternFill patternType="solid">
        <fgColor rgb="FF6366F1"/>
        <bgColor rgb="FF6366F1"/>
      </patternFill>
    </fill>
  </fills>
  <borders count="6">
    <border/>
    <border>
      <left style="thin">
        <color rgb="FF1E3A8A"/>
      </left>
      <right style="thin">
        <color rgb="FF1E3A8A"/>
      </right>
      <top style="thin">
        <color rgb="FF1E3A8A"/>
      </top>
      <bottom style="thin">
        <color rgb="FF1E3A8A"/>
      </bottom>
    </border>
    <border>
      <left style="thin">
        <color rgb="FFE5E7EB"/>
      </left>
      <right style="thin">
        <color rgb="FFE5E7EB"/>
      </right>
      <top style="thin">
        <color rgb="FFE5E7EB"/>
      </top>
      <bottom style="thin">
        <color rgb="FFE5E7EB"/>
      </bottom>
    </border>
    <border>
      <left/>
      <right/>
      <top/>
      <bottom/>
    </border>
    <border>
      <left/>
      <right/>
      <top style="medium">
        <color rgb="FF1E40AF"/>
      </top>
      <bottom/>
    </border>
    <border>
      <top style="thin">
        <color rgb="FFE5E7EB"/>
      </top>
      <bottom style="thin">
        <color rgb="FFE5E7EB"/>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Alignment="1" applyBorder="1" applyFont="1">
      <alignment horizontal="center" vertical="center"/>
    </xf>
    <xf borderId="2" fillId="3" fontId="3" numFmtId="0" xfId="0" applyAlignment="1" applyBorder="1" applyFill="1" applyFont="1">
      <alignment horizontal="center" shrinkToFit="0" vertical="center" wrapText="1"/>
    </xf>
    <xf borderId="2" fillId="0" fontId="2" numFmtId="0" xfId="0" applyAlignment="1" applyBorder="1" applyFont="1">
      <alignment shrinkToFit="0" vertical="top" wrapText="1"/>
    </xf>
    <xf borderId="2" fillId="0" fontId="2" numFmtId="0" xfId="0" applyAlignment="1" applyBorder="1" applyFont="1">
      <alignment readingOrder="0" shrinkToFit="0" vertical="top" wrapText="1"/>
    </xf>
    <xf borderId="2" fillId="0" fontId="2" numFmtId="0" xfId="0" applyAlignment="1" applyBorder="1" applyFont="1">
      <alignment horizontal="center" readingOrder="0" vertical="center"/>
    </xf>
    <xf borderId="2" fillId="4" fontId="4" numFmtId="0" xfId="0" applyAlignment="1" applyBorder="1" applyFill="1" applyFont="1">
      <alignment horizontal="center" shrinkToFit="0" vertical="center" wrapText="1"/>
    </xf>
    <xf borderId="0" fillId="0" fontId="2" numFmtId="0" xfId="0" applyAlignment="1" applyFont="1">
      <alignment shrinkToFit="0" vertical="top" wrapText="1"/>
    </xf>
    <xf borderId="2" fillId="5" fontId="5" numFmtId="0" xfId="0" applyAlignment="1" applyBorder="1" applyFill="1" applyFont="1">
      <alignment horizontal="center" shrinkToFit="0" vertical="center" wrapText="1"/>
    </xf>
    <xf borderId="2" fillId="5" fontId="3" numFmtId="0" xfId="0" applyAlignment="1" applyBorder="1" applyFont="1">
      <alignment horizontal="center" shrinkToFit="0" vertical="center" wrapText="1"/>
    </xf>
    <xf borderId="2" fillId="6" fontId="6" numFmtId="0" xfId="0" applyAlignment="1" applyBorder="1" applyFill="1" applyFont="1">
      <alignment horizontal="center" shrinkToFit="0" vertical="center" wrapText="1"/>
    </xf>
    <xf borderId="0" fillId="0" fontId="7" numFmtId="0" xfId="0" applyAlignment="1" applyFont="1">
      <alignment readingOrder="0"/>
    </xf>
    <xf borderId="2" fillId="7" fontId="3" numFmtId="0" xfId="0" applyAlignment="1" applyBorder="1" applyFill="1" applyFont="1">
      <alignment horizontal="center" shrinkToFit="0" vertical="center" wrapText="1"/>
    </xf>
    <xf borderId="2" fillId="8" fontId="3" numFmtId="0" xfId="0" applyAlignment="1" applyBorder="1" applyFill="1" applyFont="1">
      <alignment horizontal="center" shrinkToFit="0" vertical="center" wrapText="1"/>
    </xf>
    <xf borderId="2" fillId="9" fontId="3" numFmtId="0" xfId="0" applyAlignment="1" applyBorder="1" applyFill="1" applyFont="1">
      <alignment horizontal="center" shrinkToFit="0" vertical="center" wrapText="1"/>
    </xf>
    <xf borderId="2" fillId="10" fontId="3" numFmtId="0" xfId="0" applyAlignment="1" applyBorder="1" applyFill="1" applyFont="1">
      <alignment horizontal="center" shrinkToFit="0" vertical="center" wrapText="1"/>
    </xf>
    <xf borderId="3" fillId="11" fontId="1" numFmtId="0" xfId="0" applyAlignment="1" applyBorder="1" applyFill="1" applyFont="1">
      <alignment horizontal="center" shrinkToFit="0" vertical="center" wrapText="1"/>
    </xf>
    <xf borderId="0" fillId="0" fontId="2" numFmtId="0" xfId="0" applyAlignment="1" applyFont="1">
      <alignment horizontal="left" vertical="center"/>
    </xf>
    <xf borderId="0" fillId="0" fontId="2" numFmtId="0" xfId="0" applyAlignment="1" applyFont="1">
      <alignment horizontal="center" vertical="center"/>
    </xf>
    <xf borderId="0" fillId="0" fontId="2" numFmtId="9" xfId="0" applyAlignment="1" applyFont="1" applyNumberFormat="1">
      <alignment horizontal="center" vertical="center"/>
    </xf>
    <xf borderId="4" fillId="9" fontId="8" numFmtId="0" xfId="0" applyAlignment="1" applyBorder="1" applyFont="1">
      <alignment horizontal="center" vertical="center"/>
    </xf>
    <xf borderId="4" fillId="9" fontId="8" numFmtId="9" xfId="0" applyAlignment="1" applyBorder="1" applyFont="1" applyNumberFormat="1">
      <alignment horizontal="center" vertical="center"/>
    </xf>
    <xf borderId="3" fillId="12" fontId="1" numFmtId="0" xfId="0" applyAlignment="1" applyBorder="1" applyFill="1" applyFont="1">
      <alignment horizontal="center" shrinkToFit="0" vertical="center" wrapText="1"/>
    </xf>
    <xf borderId="5" fillId="0" fontId="2" numFmtId="0" xfId="0" applyAlignment="1" applyBorder="1" applyFont="1">
      <alignment shrinkToFit="0" vertical="top" wrapText="1"/>
    </xf>
    <xf borderId="3" fillId="13" fontId="1" numFmtId="0" xfId="0" applyAlignment="1" applyBorder="1" applyFill="1" applyFont="1">
      <alignment horizontal="center" shrinkToFit="0" vertical="center" wrapText="1"/>
    </xf>
    <xf borderId="0" fillId="0" fontId="2" numFmtId="0" xfId="0" applyAlignment="1" applyFont="1">
      <alignment shrinkToFit="0" vertical="center" wrapText="1"/>
    </xf>
  </cellXfs>
  <cellStyles count="1">
    <cellStyle xfId="0" name="Normal" builtinId="0"/>
  </cellStyles>
  <dxfs count="4">
    <dxf>
      <font>
        <b/>
        <color rgb="FF14532D"/>
      </font>
      <fill>
        <patternFill patternType="solid">
          <fgColor rgb="FF86EFAC"/>
          <bgColor rgb="FF86EFAC"/>
        </patternFill>
      </fill>
      <border/>
    </dxf>
    <dxf>
      <font>
        <b/>
        <color rgb="FF7F1D1D"/>
      </font>
      <fill>
        <patternFill patternType="solid">
          <fgColor rgb="FFFCA5A5"/>
          <bgColor rgb="FFFCA5A5"/>
        </patternFill>
      </fill>
      <border/>
    </dxf>
    <dxf>
      <font>
        <b/>
        <color rgb="FF78350F"/>
      </font>
      <fill>
        <patternFill patternType="solid">
          <fgColor rgb="FFFCD34D"/>
          <bgColor rgb="FFFCD34D"/>
        </patternFill>
      </fill>
      <border/>
    </dxf>
    <dxf>
      <font>
        <color rgb="FF374151"/>
      </font>
      <fill>
        <patternFill patternType="solid">
          <fgColor rgb="FFE5E7EB"/>
          <bgColor rgb="FFE5E7E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E40AF"/>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8.0"/>
    <col customWidth="1" min="3" max="3" width="18.0"/>
    <col customWidth="1" min="4" max="4" width="70.86"/>
    <col customWidth="1" min="5" max="5" width="77.86"/>
    <col customWidth="1" min="6" max="6" width="99.57"/>
    <col customWidth="1" min="7" max="8" width="14.0"/>
    <col customWidth="1" min="9" max="9" width="40.0"/>
    <col customWidth="1" min="10" max="26" width="8.71"/>
  </cols>
  <sheetData>
    <row r="1">
      <c r="A1" s="1" t="s">
        <v>0</v>
      </c>
      <c r="B1" s="1" t="s">
        <v>1</v>
      </c>
      <c r="C1" s="1" t="s">
        <v>2</v>
      </c>
      <c r="D1" s="1" t="s">
        <v>3</v>
      </c>
      <c r="E1" s="1" t="s">
        <v>4</v>
      </c>
      <c r="F1" s="1" t="s">
        <v>5</v>
      </c>
      <c r="G1" s="1" t="s">
        <v>6</v>
      </c>
      <c r="H1" s="1" t="s">
        <v>7</v>
      </c>
      <c r="I1" s="1" t="s">
        <v>8</v>
      </c>
    </row>
    <row r="2">
      <c r="A2" s="2">
        <v>1.0</v>
      </c>
      <c r="B2" s="3" t="s">
        <v>9</v>
      </c>
      <c r="C2" s="4" t="s">
        <v>10</v>
      </c>
      <c r="D2" s="4" t="s">
        <v>11</v>
      </c>
      <c r="E2" s="4" t="s">
        <v>12</v>
      </c>
      <c r="F2" s="5" t="s">
        <v>13</v>
      </c>
      <c r="G2" s="6" t="s">
        <v>14</v>
      </c>
      <c r="H2" s="7" t="s">
        <v>15</v>
      </c>
      <c r="I2" s="4" t="s">
        <v>16</v>
      </c>
      <c r="J2" s="8"/>
      <c r="K2" s="8"/>
      <c r="L2" s="8"/>
      <c r="M2" s="8"/>
      <c r="N2" s="8"/>
      <c r="O2" s="8"/>
      <c r="P2" s="8"/>
      <c r="Q2" s="8"/>
      <c r="R2" s="8"/>
      <c r="S2" s="8"/>
      <c r="T2" s="8"/>
      <c r="U2" s="8"/>
      <c r="V2" s="8"/>
      <c r="W2" s="8"/>
      <c r="X2" s="8"/>
      <c r="Y2" s="8"/>
      <c r="Z2" s="8"/>
    </row>
    <row r="3">
      <c r="A3" s="2">
        <v>2.0</v>
      </c>
      <c r="B3" s="3" t="s">
        <v>9</v>
      </c>
      <c r="C3" s="4" t="s">
        <v>17</v>
      </c>
      <c r="D3" s="4" t="s">
        <v>18</v>
      </c>
      <c r="E3" s="4" t="s">
        <v>19</v>
      </c>
      <c r="F3" s="5" t="s">
        <v>20</v>
      </c>
      <c r="G3" s="6" t="s">
        <v>21</v>
      </c>
      <c r="H3" s="7" t="s">
        <v>15</v>
      </c>
      <c r="I3" s="5" t="s">
        <v>22</v>
      </c>
      <c r="J3" s="8"/>
      <c r="K3" s="8"/>
      <c r="L3" s="8"/>
      <c r="M3" s="8"/>
      <c r="N3" s="8"/>
      <c r="O3" s="8"/>
      <c r="P3" s="8"/>
      <c r="Q3" s="8"/>
      <c r="R3" s="8"/>
      <c r="S3" s="8"/>
      <c r="T3" s="8"/>
      <c r="U3" s="8"/>
      <c r="V3" s="8"/>
      <c r="W3" s="8"/>
      <c r="X3" s="8"/>
      <c r="Y3" s="8"/>
      <c r="Z3" s="8"/>
    </row>
    <row r="4">
      <c r="A4" s="2">
        <v>3.0</v>
      </c>
      <c r="B4" s="3" t="s">
        <v>9</v>
      </c>
      <c r="C4" s="4" t="s">
        <v>23</v>
      </c>
      <c r="D4" s="4" t="s">
        <v>24</v>
      </c>
      <c r="E4" s="4" t="s">
        <v>25</v>
      </c>
      <c r="F4" s="5" t="s">
        <v>26</v>
      </c>
      <c r="G4" s="6" t="s">
        <v>21</v>
      </c>
      <c r="H4" s="7" t="s">
        <v>15</v>
      </c>
      <c r="I4" s="4" t="s">
        <v>16</v>
      </c>
      <c r="J4" s="8"/>
      <c r="K4" s="8"/>
      <c r="L4" s="8"/>
      <c r="M4" s="8"/>
      <c r="N4" s="8"/>
      <c r="O4" s="8"/>
      <c r="P4" s="8"/>
      <c r="Q4" s="8"/>
      <c r="R4" s="8"/>
      <c r="S4" s="8"/>
      <c r="T4" s="8"/>
      <c r="U4" s="8"/>
      <c r="V4" s="8"/>
      <c r="W4" s="8"/>
      <c r="X4" s="8"/>
      <c r="Y4" s="8"/>
      <c r="Z4" s="8"/>
    </row>
    <row r="5">
      <c r="A5" s="2">
        <v>4.0</v>
      </c>
      <c r="B5" s="3" t="s">
        <v>9</v>
      </c>
      <c r="C5" s="4" t="s">
        <v>27</v>
      </c>
      <c r="D5" s="4" t="s">
        <v>28</v>
      </c>
      <c r="E5" s="4" t="s">
        <v>29</v>
      </c>
      <c r="F5" s="5" t="s">
        <v>30</v>
      </c>
      <c r="G5" s="6" t="s">
        <v>21</v>
      </c>
      <c r="H5" s="9" t="s">
        <v>31</v>
      </c>
      <c r="I5" s="4" t="s">
        <v>16</v>
      </c>
      <c r="J5" s="8"/>
      <c r="K5" s="8"/>
      <c r="L5" s="8"/>
      <c r="M5" s="8"/>
      <c r="N5" s="8"/>
      <c r="O5" s="8"/>
      <c r="P5" s="8"/>
      <c r="Q5" s="8"/>
      <c r="R5" s="8"/>
      <c r="S5" s="8"/>
      <c r="T5" s="8"/>
      <c r="U5" s="8"/>
      <c r="V5" s="8"/>
      <c r="W5" s="8"/>
      <c r="X5" s="8"/>
      <c r="Y5" s="8"/>
      <c r="Z5" s="8"/>
    </row>
    <row r="6">
      <c r="A6" s="2">
        <v>5.0</v>
      </c>
      <c r="B6" s="3" t="s">
        <v>9</v>
      </c>
      <c r="C6" s="4" t="s">
        <v>32</v>
      </c>
      <c r="D6" s="4" t="s">
        <v>33</v>
      </c>
      <c r="E6" s="4" t="s">
        <v>34</v>
      </c>
      <c r="F6" s="5" t="s">
        <v>35</v>
      </c>
      <c r="G6" s="6" t="s">
        <v>21</v>
      </c>
      <c r="H6" s="7" t="s">
        <v>15</v>
      </c>
      <c r="I6" s="4" t="s">
        <v>16</v>
      </c>
      <c r="J6" s="8"/>
      <c r="K6" s="8"/>
      <c r="L6" s="8"/>
      <c r="M6" s="8"/>
      <c r="N6" s="8"/>
      <c r="O6" s="8"/>
      <c r="P6" s="8"/>
      <c r="Q6" s="8"/>
      <c r="R6" s="8"/>
      <c r="S6" s="8"/>
      <c r="T6" s="8"/>
      <c r="U6" s="8"/>
      <c r="V6" s="8"/>
      <c r="W6" s="8"/>
      <c r="X6" s="8"/>
      <c r="Y6" s="8"/>
      <c r="Z6" s="8"/>
    </row>
    <row r="7">
      <c r="A7" s="2">
        <v>6.0</v>
      </c>
      <c r="B7" s="3" t="s">
        <v>9</v>
      </c>
      <c r="C7" s="4" t="s">
        <v>36</v>
      </c>
      <c r="D7" s="4" t="s">
        <v>37</v>
      </c>
      <c r="E7" s="4" t="s">
        <v>38</v>
      </c>
      <c r="F7" s="5" t="s">
        <v>39</v>
      </c>
      <c r="G7" s="6" t="s">
        <v>21</v>
      </c>
      <c r="H7" s="9" t="s">
        <v>31</v>
      </c>
      <c r="I7" s="4" t="s">
        <v>16</v>
      </c>
      <c r="J7" s="8"/>
      <c r="K7" s="8"/>
      <c r="L7" s="8"/>
      <c r="M7" s="8"/>
      <c r="N7" s="8"/>
      <c r="O7" s="8"/>
      <c r="P7" s="8"/>
      <c r="Q7" s="8"/>
      <c r="R7" s="8"/>
      <c r="S7" s="8"/>
      <c r="T7" s="8"/>
      <c r="U7" s="8"/>
      <c r="V7" s="8"/>
      <c r="W7" s="8"/>
      <c r="X7" s="8"/>
      <c r="Y7" s="8"/>
      <c r="Z7" s="8"/>
    </row>
    <row r="8">
      <c r="A8" s="2">
        <v>7.0</v>
      </c>
      <c r="B8" s="3" t="s">
        <v>9</v>
      </c>
      <c r="C8" s="4" t="s">
        <v>40</v>
      </c>
      <c r="D8" s="4" t="s">
        <v>41</v>
      </c>
      <c r="E8" s="4" t="s">
        <v>42</v>
      </c>
      <c r="F8" s="5" t="s">
        <v>43</v>
      </c>
      <c r="G8" s="6" t="s">
        <v>21</v>
      </c>
      <c r="H8" s="7" t="s">
        <v>15</v>
      </c>
      <c r="I8" s="4" t="s">
        <v>16</v>
      </c>
      <c r="J8" s="8"/>
      <c r="K8" s="8"/>
      <c r="L8" s="8"/>
      <c r="M8" s="8"/>
      <c r="N8" s="8"/>
      <c r="O8" s="8"/>
      <c r="P8" s="8"/>
      <c r="Q8" s="8"/>
      <c r="R8" s="8"/>
      <c r="S8" s="8"/>
      <c r="T8" s="8"/>
      <c r="U8" s="8"/>
      <c r="V8" s="8"/>
      <c r="W8" s="8"/>
      <c r="X8" s="8"/>
      <c r="Y8" s="8"/>
      <c r="Z8" s="8"/>
    </row>
    <row r="9">
      <c r="A9" s="2">
        <v>8.0</v>
      </c>
      <c r="B9" s="3" t="s">
        <v>9</v>
      </c>
      <c r="C9" s="4" t="s">
        <v>44</v>
      </c>
      <c r="D9" s="4" t="s">
        <v>45</v>
      </c>
      <c r="E9" s="4" t="s">
        <v>46</v>
      </c>
      <c r="F9" s="5" t="s">
        <v>47</v>
      </c>
      <c r="G9" s="6" t="s">
        <v>21</v>
      </c>
      <c r="H9" s="9" t="s">
        <v>31</v>
      </c>
      <c r="I9" s="4" t="s">
        <v>16</v>
      </c>
      <c r="J9" s="8"/>
      <c r="K9" s="8"/>
      <c r="L9" s="8"/>
      <c r="M9" s="8"/>
      <c r="N9" s="8"/>
      <c r="O9" s="8"/>
      <c r="P9" s="8"/>
      <c r="Q9" s="8"/>
      <c r="R9" s="8"/>
      <c r="S9" s="8"/>
      <c r="T9" s="8"/>
      <c r="U9" s="8"/>
      <c r="V9" s="8"/>
      <c r="W9" s="8"/>
      <c r="X9" s="8"/>
      <c r="Y9" s="8"/>
      <c r="Z9" s="8"/>
    </row>
    <row r="10">
      <c r="A10" s="2">
        <v>9.0</v>
      </c>
      <c r="B10" s="3" t="s">
        <v>9</v>
      </c>
      <c r="C10" s="4" t="s">
        <v>48</v>
      </c>
      <c r="D10" s="4" t="s">
        <v>49</v>
      </c>
      <c r="E10" s="4" t="s">
        <v>50</v>
      </c>
      <c r="F10" s="5" t="s">
        <v>51</v>
      </c>
      <c r="G10" s="6" t="s">
        <v>21</v>
      </c>
      <c r="H10" s="7" t="s">
        <v>15</v>
      </c>
      <c r="I10" s="4" t="s">
        <v>16</v>
      </c>
      <c r="J10" s="8"/>
      <c r="K10" s="8"/>
      <c r="L10" s="8"/>
      <c r="M10" s="8"/>
      <c r="N10" s="8"/>
      <c r="O10" s="8"/>
      <c r="P10" s="8"/>
      <c r="Q10" s="8"/>
      <c r="R10" s="8"/>
      <c r="S10" s="8"/>
      <c r="T10" s="8"/>
      <c r="U10" s="8"/>
      <c r="V10" s="8"/>
      <c r="W10" s="8"/>
      <c r="X10" s="8"/>
      <c r="Y10" s="8"/>
      <c r="Z10" s="8"/>
    </row>
    <row r="11">
      <c r="A11" s="2">
        <v>10.0</v>
      </c>
      <c r="B11" s="3" t="s">
        <v>9</v>
      </c>
      <c r="C11" s="4" t="s">
        <v>52</v>
      </c>
      <c r="D11" s="4" t="s">
        <v>53</v>
      </c>
      <c r="E11" s="4" t="s">
        <v>54</v>
      </c>
      <c r="F11" s="5" t="s">
        <v>55</v>
      </c>
      <c r="G11" s="6" t="s">
        <v>21</v>
      </c>
      <c r="H11" s="7" t="s">
        <v>15</v>
      </c>
      <c r="I11" s="4" t="s">
        <v>16</v>
      </c>
      <c r="J11" s="8"/>
      <c r="K11" s="8"/>
      <c r="L11" s="8"/>
      <c r="M11" s="8"/>
      <c r="N11" s="8"/>
      <c r="O11" s="8"/>
      <c r="P11" s="8"/>
      <c r="Q11" s="8"/>
      <c r="R11" s="8"/>
      <c r="S11" s="8"/>
      <c r="T11" s="8"/>
      <c r="U11" s="8"/>
      <c r="V11" s="8"/>
      <c r="W11" s="8"/>
      <c r="X11" s="8"/>
      <c r="Y11" s="8"/>
      <c r="Z11" s="8"/>
    </row>
    <row r="12">
      <c r="A12" s="2">
        <v>11.0</v>
      </c>
      <c r="B12" s="3" t="s">
        <v>9</v>
      </c>
      <c r="C12" s="4" t="s">
        <v>56</v>
      </c>
      <c r="D12" s="4" t="s">
        <v>57</v>
      </c>
      <c r="E12" s="4" t="s">
        <v>58</v>
      </c>
      <c r="F12" s="5" t="s">
        <v>59</v>
      </c>
      <c r="G12" s="6" t="s">
        <v>21</v>
      </c>
      <c r="H12" s="9" t="s">
        <v>31</v>
      </c>
      <c r="I12" s="4" t="s">
        <v>16</v>
      </c>
      <c r="J12" s="8"/>
      <c r="K12" s="8"/>
      <c r="L12" s="8"/>
      <c r="M12" s="8"/>
      <c r="N12" s="8"/>
      <c r="O12" s="8"/>
      <c r="P12" s="8"/>
      <c r="Q12" s="8"/>
      <c r="R12" s="8"/>
      <c r="S12" s="8"/>
      <c r="T12" s="8"/>
      <c r="U12" s="8"/>
      <c r="V12" s="8"/>
      <c r="W12" s="8"/>
      <c r="X12" s="8"/>
      <c r="Y12" s="8"/>
      <c r="Z12" s="8"/>
    </row>
    <row r="13">
      <c r="A13" s="2">
        <v>12.0</v>
      </c>
      <c r="B13" s="3" t="s">
        <v>9</v>
      </c>
      <c r="C13" s="4" t="s">
        <v>60</v>
      </c>
      <c r="D13" s="4" t="s">
        <v>61</v>
      </c>
      <c r="E13" s="4" t="s">
        <v>62</v>
      </c>
      <c r="F13" s="5" t="s">
        <v>55</v>
      </c>
      <c r="G13" s="6" t="s">
        <v>21</v>
      </c>
      <c r="H13" s="9" t="s">
        <v>31</v>
      </c>
      <c r="I13" s="4" t="s">
        <v>16</v>
      </c>
      <c r="J13" s="8"/>
      <c r="K13" s="8"/>
      <c r="L13" s="8"/>
      <c r="M13" s="8"/>
      <c r="N13" s="8"/>
      <c r="O13" s="8"/>
      <c r="P13" s="8"/>
      <c r="Q13" s="8"/>
      <c r="R13" s="8"/>
      <c r="S13" s="8"/>
      <c r="T13" s="8"/>
      <c r="U13" s="8"/>
      <c r="V13" s="8"/>
      <c r="W13" s="8"/>
      <c r="X13" s="8"/>
      <c r="Y13" s="8"/>
      <c r="Z13" s="8"/>
    </row>
    <row r="14">
      <c r="A14" s="2">
        <v>13.0</v>
      </c>
      <c r="B14" s="3" t="s">
        <v>9</v>
      </c>
      <c r="C14" s="4" t="s">
        <v>63</v>
      </c>
      <c r="D14" s="4" t="s">
        <v>64</v>
      </c>
      <c r="E14" s="4" t="s">
        <v>65</v>
      </c>
      <c r="F14" s="5" t="s">
        <v>66</v>
      </c>
      <c r="G14" s="6" t="s">
        <v>21</v>
      </c>
      <c r="H14" s="9" t="s">
        <v>31</v>
      </c>
      <c r="I14" s="4" t="s">
        <v>16</v>
      </c>
      <c r="J14" s="8"/>
      <c r="K14" s="8"/>
      <c r="L14" s="8"/>
      <c r="M14" s="8"/>
      <c r="N14" s="8"/>
      <c r="O14" s="8"/>
      <c r="P14" s="8"/>
      <c r="Q14" s="8"/>
      <c r="R14" s="8"/>
      <c r="S14" s="8"/>
      <c r="T14" s="8"/>
      <c r="U14" s="8"/>
      <c r="V14" s="8"/>
      <c r="W14" s="8"/>
      <c r="X14" s="8"/>
      <c r="Y14" s="8"/>
      <c r="Z14" s="8"/>
    </row>
    <row r="15">
      <c r="A15" s="2">
        <v>14.0</v>
      </c>
      <c r="B15" s="3" t="s">
        <v>9</v>
      </c>
      <c r="C15" s="4" t="s">
        <v>67</v>
      </c>
      <c r="D15" s="4" t="s">
        <v>68</v>
      </c>
      <c r="E15" s="4" t="s">
        <v>69</v>
      </c>
      <c r="F15" s="5" t="s">
        <v>70</v>
      </c>
      <c r="G15" s="6" t="s">
        <v>21</v>
      </c>
      <c r="H15" s="7" t="s">
        <v>15</v>
      </c>
      <c r="I15" s="4" t="s">
        <v>16</v>
      </c>
      <c r="J15" s="8"/>
      <c r="K15" s="8"/>
      <c r="L15" s="8"/>
      <c r="M15" s="8"/>
      <c r="N15" s="8"/>
      <c r="O15" s="8"/>
      <c r="P15" s="8"/>
      <c r="Q15" s="8"/>
      <c r="R15" s="8"/>
      <c r="S15" s="8"/>
      <c r="T15" s="8"/>
      <c r="U15" s="8"/>
      <c r="V15" s="8"/>
      <c r="W15" s="8"/>
      <c r="X15" s="8"/>
      <c r="Y15" s="8"/>
      <c r="Z15" s="8"/>
    </row>
    <row r="16">
      <c r="A16" s="2">
        <v>15.0</v>
      </c>
      <c r="B16" s="3" t="s">
        <v>9</v>
      </c>
      <c r="C16" s="4" t="s">
        <v>71</v>
      </c>
      <c r="D16" s="4" t="s">
        <v>72</v>
      </c>
      <c r="E16" s="4" t="s">
        <v>73</v>
      </c>
      <c r="F16" s="5" t="s">
        <v>55</v>
      </c>
      <c r="G16" s="6" t="s">
        <v>21</v>
      </c>
      <c r="H16" s="9" t="s">
        <v>31</v>
      </c>
      <c r="I16" s="4" t="s">
        <v>16</v>
      </c>
      <c r="J16" s="8"/>
      <c r="K16" s="8"/>
      <c r="L16" s="8"/>
      <c r="M16" s="8"/>
      <c r="N16" s="8"/>
      <c r="O16" s="8"/>
      <c r="P16" s="8"/>
      <c r="Q16" s="8"/>
      <c r="R16" s="8"/>
      <c r="S16" s="8"/>
      <c r="T16" s="8"/>
      <c r="U16" s="8"/>
      <c r="V16" s="8"/>
      <c r="W16" s="8"/>
      <c r="X16" s="8"/>
      <c r="Y16" s="8"/>
      <c r="Z16" s="8"/>
    </row>
    <row r="17">
      <c r="A17" s="2">
        <v>16.0</v>
      </c>
      <c r="B17" s="3" t="s">
        <v>9</v>
      </c>
      <c r="C17" s="4" t="s">
        <v>74</v>
      </c>
      <c r="D17" s="4" t="s">
        <v>75</v>
      </c>
      <c r="E17" s="4" t="s">
        <v>76</v>
      </c>
      <c r="F17" s="5" t="s">
        <v>55</v>
      </c>
      <c r="G17" s="6" t="s">
        <v>21</v>
      </c>
      <c r="H17" s="9" t="s">
        <v>31</v>
      </c>
      <c r="I17" s="4" t="s">
        <v>16</v>
      </c>
      <c r="J17" s="8"/>
      <c r="K17" s="8"/>
      <c r="L17" s="8"/>
      <c r="M17" s="8"/>
      <c r="N17" s="8"/>
      <c r="O17" s="8"/>
      <c r="P17" s="8"/>
      <c r="Q17" s="8"/>
      <c r="R17" s="8"/>
      <c r="S17" s="8"/>
      <c r="T17" s="8"/>
      <c r="U17" s="8"/>
      <c r="V17" s="8"/>
      <c r="W17" s="8"/>
      <c r="X17" s="8"/>
      <c r="Y17" s="8"/>
      <c r="Z17" s="8"/>
    </row>
    <row r="18">
      <c r="A18" s="2">
        <v>17.0</v>
      </c>
      <c r="B18" s="10" t="s">
        <v>77</v>
      </c>
      <c r="C18" s="4" t="s">
        <v>78</v>
      </c>
      <c r="D18" s="4" t="s">
        <v>79</v>
      </c>
      <c r="E18" s="4" t="s">
        <v>80</v>
      </c>
      <c r="F18" s="5" t="s">
        <v>81</v>
      </c>
      <c r="G18" s="6" t="s">
        <v>21</v>
      </c>
      <c r="H18" s="9" t="s">
        <v>31</v>
      </c>
      <c r="I18" s="4" t="s">
        <v>16</v>
      </c>
      <c r="J18" s="8"/>
      <c r="K18" s="8"/>
      <c r="L18" s="8"/>
      <c r="M18" s="8"/>
      <c r="N18" s="8"/>
      <c r="O18" s="8"/>
      <c r="P18" s="8"/>
      <c r="Q18" s="8"/>
      <c r="R18" s="8"/>
      <c r="S18" s="8"/>
      <c r="T18" s="8"/>
      <c r="U18" s="8"/>
      <c r="V18" s="8"/>
      <c r="W18" s="8"/>
      <c r="X18" s="8"/>
      <c r="Y18" s="8"/>
      <c r="Z18" s="8"/>
    </row>
    <row r="19">
      <c r="A19" s="2">
        <v>18.0</v>
      </c>
      <c r="B19" s="10" t="s">
        <v>77</v>
      </c>
      <c r="C19" s="4" t="s">
        <v>82</v>
      </c>
      <c r="D19" s="4" t="s">
        <v>83</v>
      </c>
      <c r="E19" s="4" t="s">
        <v>84</v>
      </c>
      <c r="F19" s="5" t="s">
        <v>85</v>
      </c>
      <c r="G19" s="6" t="s">
        <v>21</v>
      </c>
      <c r="H19" s="11" t="s">
        <v>86</v>
      </c>
      <c r="I19" s="4" t="s">
        <v>16</v>
      </c>
      <c r="J19" s="8"/>
      <c r="K19" s="8"/>
      <c r="L19" s="8"/>
      <c r="M19" s="8"/>
      <c r="N19" s="8"/>
      <c r="O19" s="8"/>
      <c r="P19" s="8"/>
      <c r="Q19" s="8"/>
      <c r="R19" s="8"/>
      <c r="S19" s="8"/>
      <c r="T19" s="8"/>
      <c r="U19" s="8"/>
      <c r="V19" s="8"/>
      <c r="W19" s="8"/>
      <c r="X19" s="8"/>
      <c r="Y19" s="8"/>
      <c r="Z19" s="8"/>
    </row>
    <row r="20">
      <c r="A20" s="2">
        <v>19.0</v>
      </c>
      <c r="B20" s="10" t="s">
        <v>77</v>
      </c>
      <c r="C20" s="4" t="s">
        <v>87</v>
      </c>
      <c r="D20" s="4" t="s">
        <v>88</v>
      </c>
      <c r="E20" s="4" t="s">
        <v>89</v>
      </c>
      <c r="F20" s="5" t="s">
        <v>90</v>
      </c>
      <c r="G20" s="6" t="s">
        <v>14</v>
      </c>
      <c r="H20" s="7" t="s">
        <v>15</v>
      </c>
      <c r="I20" s="4" t="s">
        <v>16</v>
      </c>
      <c r="J20" s="8"/>
      <c r="K20" s="8"/>
      <c r="L20" s="8"/>
      <c r="M20" s="8"/>
      <c r="N20" s="8"/>
      <c r="O20" s="8"/>
      <c r="P20" s="8"/>
      <c r="Q20" s="8"/>
      <c r="R20" s="8"/>
      <c r="S20" s="8"/>
      <c r="T20" s="8"/>
      <c r="U20" s="8"/>
      <c r="V20" s="8"/>
      <c r="W20" s="8"/>
      <c r="X20" s="8"/>
      <c r="Y20" s="8"/>
      <c r="Z20" s="8"/>
    </row>
    <row r="21">
      <c r="A21" s="2">
        <v>20.0</v>
      </c>
      <c r="B21" s="10" t="s">
        <v>77</v>
      </c>
      <c r="C21" s="4" t="s">
        <v>91</v>
      </c>
      <c r="D21" s="4" t="s">
        <v>92</v>
      </c>
      <c r="E21" s="4" t="s">
        <v>93</v>
      </c>
      <c r="F21" s="5" t="s">
        <v>55</v>
      </c>
      <c r="G21" s="6" t="s">
        <v>21</v>
      </c>
      <c r="H21" s="9" t="s">
        <v>31</v>
      </c>
      <c r="I21" s="4" t="s">
        <v>16</v>
      </c>
      <c r="J21" s="8"/>
      <c r="K21" s="8"/>
      <c r="L21" s="8"/>
      <c r="M21" s="8"/>
      <c r="N21" s="8"/>
      <c r="O21" s="8"/>
      <c r="P21" s="8"/>
      <c r="Q21" s="8"/>
      <c r="R21" s="8"/>
      <c r="S21" s="8"/>
      <c r="T21" s="8"/>
      <c r="U21" s="8"/>
      <c r="V21" s="8"/>
      <c r="W21" s="8"/>
      <c r="X21" s="8"/>
      <c r="Y21" s="8"/>
      <c r="Z21" s="8"/>
    </row>
    <row r="22">
      <c r="A22" s="2">
        <v>21.0</v>
      </c>
      <c r="B22" s="10" t="s">
        <v>77</v>
      </c>
      <c r="C22" s="4" t="s">
        <v>94</v>
      </c>
      <c r="D22" s="4" t="s">
        <v>95</v>
      </c>
      <c r="E22" s="4" t="s">
        <v>96</v>
      </c>
      <c r="F22" s="5" t="s">
        <v>97</v>
      </c>
      <c r="G22" s="6" t="s">
        <v>14</v>
      </c>
      <c r="H22" s="9" t="s">
        <v>31</v>
      </c>
      <c r="I22" s="4" t="s">
        <v>16</v>
      </c>
      <c r="J22" s="8"/>
      <c r="K22" s="8"/>
      <c r="L22" s="8"/>
      <c r="M22" s="8"/>
      <c r="N22" s="8"/>
      <c r="O22" s="8"/>
      <c r="P22" s="8"/>
      <c r="Q22" s="8"/>
      <c r="R22" s="8"/>
      <c r="S22" s="8"/>
      <c r="T22" s="8"/>
      <c r="U22" s="8"/>
      <c r="V22" s="8"/>
      <c r="W22" s="8"/>
      <c r="X22" s="8"/>
      <c r="Y22" s="8"/>
      <c r="Z22" s="8"/>
    </row>
    <row r="23">
      <c r="A23" s="2">
        <v>22.0</v>
      </c>
      <c r="B23" s="10" t="s">
        <v>77</v>
      </c>
      <c r="C23" s="4" t="s">
        <v>98</v>
      </c>
      <c r="D23" s="4" t="s">
        <v>99</v>
      </c>
      <c r="E23" s="4" t="s">
        <v>100</v>
      </c>
      <c r="F23" s="12" t="s">
        <v>101</v>
      </c>
      <c r="G23" s="6" t="s">
        <v>21</v>
      </c>
      <c r="H23" s="9" t="s">
        <v>31</v>
      </c>
      <c r="I23" s="4" t="s">
        <v>16</v>
      </c>
      <c r="J23" s="8"/>
      <c r="K23" s="8"/>
      <c r="L23" s="8"/>
      <c r="M23" s="8"/>
      <c r="N23" s="8"/>
      <c r="O23" s="8"/>
      <c r="P23" s="8"/>
      <c r="Q23" s="8"/>
      <c r="R23" s="8"/>
      <c r="S23" s="8"/>
      <c r="T23" s="8"/>
      <c r="U23" s="8"/>
      <c r="V23" s="8"/>
      <c r="W23" s="8"/>
      <c r="X23" s="8"/>
      <c r="Y23" s="8"/>
      <c r="Z23" s="8"/>
    </row>
    <row r="24">
      <c r="A24" s="2">
        <v>23.0</v>
      </c>
      <c r="B24" s="10" t="s">
        <v>77</v>
      </c>
      <c r="C24" s="4" t="s">
        <v>102</v>
      </c>
      <c r="D24" s="4" t="s">
        <v>103</v>
      </c>
      <c r="E24" s="4" t="s">
        <v>104</v>
      </c>
      <c r="F24" s="5" t="s">
        <v>55</v>
      </c>
      <c r="G24" s="6" t="s">
        <v>21</v>
      </c>
      <c r="H24" s="9" t="s">
        <v>31</v>
      </c>
      <c r="I24" s="4" t="s">
        <v>16</v>
      </c>
      <c r="J24" s="8"/>
      <c r="K24" s="8"/>
      <c r="L24" s="8"/>
      <c r="M24" s="8"/>
      <c r="N24" s="8"/>
      <c r="O24" s="8"/>
      <c r="P24" s="8"/>
      <c r="Q24" s="8"/>
      <c r="R24" s="8"/>
      <c r="S24" s="8"/>
      <c r="T24" s="8"/>
      <c r="U24" s="8"/>
      <c r="V24" s="8"/>
      <c r="W24" s="8"/>
      <c r="X24" s="8"/>
      <c r="Y24" s="8"/>
      <c r="Z24" s="8"/>
    </row>
    <row r="25">
      <c r="A25" s="2">
        <v>24.0</v>
      </c>
      <c r="B25" s="10" t="s">
        <v>77</v>
      </c>
      <c r="C25" s="4" t="s">
        <v>105</v>
      </c>
      <c r="D25" s="4" t="s">
        <v>106</v>
      </c>
      <c r="E25" s="4" t="s">
        <v>107</v>
      </c>
      <c r="F25" s="5" t="s">
        <v>55</v>
      </c>
      <c r="G25" s="6" t="s">
        <v>21</v>
      </c>
      <c r="H25" s="11" t="s">
        <v>86</v>
      </c>
      <c r="I25" s="4" t="s">
        <v>16</v>
      </c>
      <c r="J25" s="8"/>
      <c r="K25" s="8"/>
      <c r="L25" s="8"/>
      <c r="M25" s="8"/>
      <c r="N25" s="8"/>
      <c r="O25" s="8"/>
      <c r="P25" s="8"/>
      <c r="Q25" s="8"/>
      <c r="R25" s="8"/>
      <c r="S25" s="8"/>
      <c r="T25" s="8"/>
      <c r="U25" s="8"/>
      <c r="V25" s="8"/>
      <c r="W25" s="8"/>
      <c r="X25" s="8"/>
      <c r="Y25" s="8"/>
      <c r="Z25" s="8"/>
    </row>
    <row r="26">
      <c r="A26" s="2">
        <v>25.0</v>
      </c>
      <c r="B26" s="10" t="s">
        <v>77</v>
      </c>
      <c r="C26" s="4" t="s">
        <v>108</v>
      </c>
      <c r="D26" s="4" t="s">
        <v>109</v>
      </c>
      <c r="E26" s="4" t="s">
        <v>110</v>
      </c>
      <c r="F26" s="5" t="s">
        <v>55</v>
      </c>
      <c r="G26" s="6" t="s">
        <v>21</v>
      </c>
      <c r="H26" s="11" t="s">
        <v>86</v>
      </c>
      <c r="I26" s="4" t="s">
        <v>16</v>
      </c>
      <c r="J26" s="8"/>
      <c r="K26" s="8"/>
      <c r="L26" s="8"/>
      <c r="M26" s="8"/>
      <c r="N26" s="8"/>
      <c r="O26" s="8"/>
      <c r="P26" s="8"/>
      <c r="Q26" s="8"/>
      <c r="R26" s="8"/>
      <c r="S26" s="8"/>
      <c r="T26" s="8"/>
      <c r="U26" s="8"/>
      <c r="V26" s="8"/>
      <c r="W26" s="8"/>
      <c r="X26" s="8"/>
      <c r="Y26" s="8"/>
      <c r="Z26" s="8"/>
    </row>
    <row r="27">
      <c r="A27" s="2">
        <v>26.0</v>
      </c>
      <c r="B27" s="10" t="s">
        <v>77</v>
      </c>
      <c r="C27" s="4" t="s">
        <v>111</v>
      </c>
      <c r="D27" s="4" t="s">
        <v>112</v>
      </c>
      <c r="E27" s="4" t="s">
        <v>113</v>
      </c>
      <c r="F27" s="12" t="s">
        <v>114</v>
      </c>
      <c r="G27" s="6" t="s">
        <v>14</v>
      </c>
      <c r="H27" s="7" t="s">
        <v>15</v>
      </c>
      <c r="I27" s="4" t="s">
        <v>16</v>
      </c>
      <c r="J27" s="8"/>
      <c r="K27" s="8"/>
      <c r="L27" s="8"/>
      <c r="M27" s="8"/>
      <c r="N27" s="8"/>
      <c r="O27" s="8"/>
      <c r="P27" s="8"/>
      <c r="Q27" s="8"/>
      <c r="R27" s="8"/>
      <c r="S27" s="8"/>
      <c r="T27" s="8"/>
      <c r="U27" s="8"/>
      <c r="V27" s="8"/>
      <c r="W27" s="8"/>
      <c r="X27" s="8"/>
      <c r="Y27" s="8"/>
      <c r="Z27" s="8"/>
    </row>
    <row r="28">
      <c r="A28" s="2">
        <v>27.0</v>
      </c>
      <c r="B28" s="10" t="s">
        <v>77</v>
      </c>
      <c r="C28" s="4" t="s">
        <v>115</v>
      </c>
      <c r="D28" s="4" t="s">
        <v>116</v>
      </c>
      <c r="E28" s="4" t="s">
        <v>117</v>
      </c>
      <c r="F28" s="5" t="s">
        <v>118</v>
      </c>
      <c r="G28" s="6" t="s">
        <v>14</v>
      </c>
      <c r="H28" s="9" t="s">
        <v>31</v>
      </c>
      <c r="I28" s="4" t="s">
        <v>16</v>
      </c>
      <c r="J28" s="8"/>
      <c r="K28" s="8"/>
      <c r="L28" s="8"/>
      <c r="M28" s="8"/>
      <c r="N28" s="8"/>
      <c r="O28" s="8"/>
      <c r="P28" s="8"/>
      <c r="Q28" s="8"/>
      <c r="R28" s="8"/>
      <c r="S28" s="8"/>
      <c r="T28" s="8"/>
      <c r="U28" s="8"/>
      <c r="V28" s="8"/>
      <c r="W28" s="8"/>
      <c r="X28" s="8"/>
      <c r="Y28" s="8"/>
      <c r="Z28" s="8"/>
    </row>
    <row r="29">
      <c r="A29" s="2">
        <v>28.0</v>
      </c>
      <c r="B29" s="10" t="s">
        <v>77</v>
      </c>
      <c r="C29" s="4" t="s">
        <v>119</v>
      </c>
      <c r="D29" s="4" t="s">
        <v>120</v>
      </c>
      <c r="E29" s="4" t="s">
        <v>121</v>
      </c>
      <c r="F29" s="5" t="s">
        <v>55</v>
      </c>
      <c r="G29" s="6" t="s">
        <v>21</v>
      </c>
      <c r="H29" s="9" t="s">
        <v>31</v>
      </c>
      <c r="I29" s="4" t="s">
        <v>16</v>
      </c>
      <c r="J29" s="8"/>
      <c r="K29" s="8"/>
      <c r="L29" s="8"/>
      <c r="M29" s="8"/>
      <c r="N29" s="8"/>
      <c r="O29" s="8"/>
      <c r="P29" s="8"/>
      <c r="Q29" s="8"/>
      <c r="R29" s="8"/>
      <c r="S29" s="8"/>
      <c r="T29" s="8"/>
      <c r="U29" s="8"/>
      <c r="V29" s="8"/>
      <c r="W29" s="8"/>
      <c r="X29" s="8"/>
      <c r="Y29" s="8"/>
      <c r="Z29" s="8"/>
    </row>
    <row r="30">
      <c r="A30" s="2">
        <v>29.0</v>
      </c>
      <c r="B30" s="10" t="s">
        <v>77</v>
      </c>
      <c r="C30" s="4" t="s">
        <v>122</v>
      </c>
      <c r="D30" s="4" t="s">
        <v>123</v>
      </c>
      <c r="E30" s="4" t="s">
        <v>124</v>
      </c>
      <c r="F30" s="5" t="s">
        <v>55</v>
      </c>
      <c r="G30" s="6" t="s">
        <v>21</v>
      </c>
      <c r="H30" s="7" t="s">
        <v>15</v>
      </c>
      <c r="I30" s="4" t="s">
        <v>16</v>
      </c>
      <c r="J30" s="8"/>
      <c r="K30" s="8"/>
      <c r="L30" s="8"/>
      <c r="M30" s="8"/>
      <c r="N30" s="8"/>
      <c r="O30" s="8"/>
      <c r="P30" s="8"/>
      <c r="Q30" s="8"/>
      <c r="R30" s="8"/>
      <c r="S30" s="8"/>
      <c r="T30" s="8"/>
      <c r="U30" s="8"/>
      <c r="V30" s="8"/>
      <c r="W30" s="8"/>
      <c r="X30" s="8"/>
      <c r="Y30" s="8"/>
      <c r="Z30" s="8"/>
    </row>
    <row r="31">
      <c r="A31" s="2">
        <v>30.0</v>
      </c>
      <c r="B31" s="10" t="s">
        <v>77</v>
      </c>
      <c r="C31" s="4" t="s">
        <v>125</v>
      </c>
      <c r="D31" s="4" t="s">
        <v>126</v>
      </c>
      <c r="E31" s="4" t="s">
        <v>127</v>
      </c>
      <c r="F31" s="5" t="s">
        <v>55</v>
      </c>
      <c r="G31" s="6" t="s">
        <v>21</v>
      </c>
      <c r="H31" s="9" t="s">
        <v>31</v>
      </c>
      <c r="I31" s="4" t="s">
        <v>16</v>
      </c>
      <c r="J31" s="8"/>
      <c r="K31" s="8"/>
      <c r="L31" s="8"/>
      <c r="M31" s="8"/>
      <c r="N31" s="8"/>
      <c r="O31" s="8"/>
      <c r="P31" s="8"/>
      <c r="Q31" s="8"/>
      <c r="R31" s="8"/>
      <c r="S31" s="8"/>
      <c r="T31" s="8"/>
      <c r="U31" s="8"/>
      <c r="V31" s="8"/>
      <c r="W31" s="8"/>
      <c r="X31" s="8"/>
      <c r="Y31" s="8"/>
      <c r="Z31" s="8"/>
    </row>
    <row r="32">
      <c r="A32" s="2">
        <v>31.0</v>
      </c>
      <c r="B32" s="10" t="s">
        <v>77</v>
      </c>
      <c r="C32" s="4" t="s">
        <v>128</v>
      </c>
      <c r="D32" s="4" t="s">
        <v>129</v>
      </c>
      <c r="E32" s="4" t="s">
        <v>130</v>
      </c>
      <c r="F32" s="5" t="s">
        <v>131</v>
      </c>
      <c r="G32" s="6" t="s">
        <v>21</v>
      </c>
      <c r="H32" s="9" t="s">
        <v>31</v>
      </c>
      <c r="I32" s="4" t="s">
        <v>16</v>
      </c>
      <c r="J32" s="8"/>
      <c r="K32" s="8"/>
      <c r="L32" s="8"/>
      <c r="M32" s="8"/>
      <c r="N32" s="8"/>
      <c r="O32" s="8"/>
      <c r="P32" s="8"/>
      <c r="Q32" s="8"/>
      <c r="R32" s="8"/>
      <c r="S32" s="8"/>
      <c r="T32" s="8"/>
      <c r="U32" s="8"/>
      <c r="V32" s="8"/>
      <c r="W32" s="8"/>
      <c r="X32" s="8"/>
      <c r="Y32" s="8"/>
      <c r="Z32" s="8"/>
    </row>
    <row r="33">
      <c r="A33" s="2">
        <v>32.0</v>
      </c>
      <c r="B33" s="10" t="s">
        <v>77</v>
      </c>
      <c r="C33" s="4" t="s">
        <v>132</v>
      </c>
      <c r="D33" s="4" t="s">
        <v>133</v>
      </c>
      <c r="E33" s="4" t="s">
        <v>130</v>
      </c>
      <c r="F33" s="5" t="s">
        <v>131</v>
      </c>
      <c r="G33" s="6" t="s">
        <v>21</v>
      </c>
      <c r="H33" s="9" t="s">
        <v>31</v>
      </c>
      <c r="I33" s="4" t="s">
        <v>16</v>
      </c>
      <c r="J33" s="8"/>
      <c r="K33" s="8"/>
      <c r="L33" s="8"/>
      <c r="M33" s="8"/>
      <c r="N33" s="8"/>
      <c r="O33" s="8"/>
      <c r="P33" s="8"/>
      <c r="Q33" s="8"/>
      <c r="R33" s="8"/>
      <c r="S33" s="8"/>
      <c r="T33" s="8"/>
      <c r="U33" s="8"/>
      <c r="V33" s="8"/>
      <c r="W33" s="8"/>
      <c r="X33" s="8"/>
      <c r="Y33" s="8"/>
      <c r="Z33" s="8"/>
    </row>
    <row r="34">
      <c r="A34" s="2">
        <v>33.0</v>
      </c>
      <c r="B34" s="10" t="s">
        <v>77</v>
      </c>
      <c r="C34" s="4" t="s">
        <v>134</v>
      </c>
      <c r="D34" s="4" t="s">
        <v>135</v>
      </c>
      <c r="E34" s="4" t="s">
        <v>136</v>
      </c>
      <c r="F34" s="5" t="s">
        <v>55</v>
      </c>
      <c r="G34" s="6" t="s">
        <v>21</v>
      </c>
      <c r="H34" s="11" t="s">
        <v>86</v>
      </c>
      <c r="I34" s="4" t="s">
        <v>16</v>
      </c>
      <c r="J34" s="8"/>
      <c r="K34" s="8"/>
      <c r="L34" s="8"/>
      <c r="M34" s="8"/>
      <c r="N34" s="8"/>
      <c r="O34" s="8"/>
      <c r="P34" s="8"/>
      <c r="Q34" s="8"/>
      <c r="R34" s="8"/>
      <c r="S34" s="8"/>
      <c r="T34" s="8"/>
      <c r="U34" s="8"/>
      <c r="V34" s="8"/>
      <c r="W34" s="8"/>
      <c r="X34" s="8"/>
      <c r="Y34" s="8"/>
      <c r="Z34" s="8"/>
    </row>
    <row r="35">
      <c r="A35" s="2">
        <v>34.0</v>
      </c>
      <c r="B35" s="10" t="s">
        <v>77</v>
      </c>
      <c r="C35" s="4" t="s">
        <v>137</v>
      </c>
      <c r="D35" s="4" t="s">
        <v>138</v>
      </c>
      <c r="E35" s="4" t="s">
        <v>139</v>
      </c>
      <c r="F35" s="5" t="s">
        <v>55</v>
      </c>
      <c r="G35" s="6" t="s">
        <v>21</v>
      </c>
      <c r="H35" s="11" t="s">
        <v>86</v>
      </c>
      <c r="I35" s="4" t="s">
        <v>16</v>
      </c>
      <c r="J35" s="8"/>
      <c r="K35" s="8"/>
      <c r="L35" s="8"/>
      <c r="M35" s="8"/>
      <c r="N35" s="8"/>
      <c r="O35" s="8"/>
      <c r="P35" s="8"/>
      <c r="Q35" s="8"/>
      <c r="R35" s="8"/>
      <c r="S35" s="8"/>
      <c r="T35" s="8"/>
      <c r="U35" s="8"/>
      <c r="V35" s="8"/>
      <c r="W35" s="8"/>
      <c r="X35" s="8"/>
      <c r="Y35" s="8"/>
      <c r="Z35" s="8"/>
    </row>
    <row r="36">
      <c r="A36" s="2">
        <v>35.0</v>
      </c>
      <c r="B36" s="10" t="s">
        <v>77</v>
      </c>
      <c r="C36" s="4" t="s">
        <v>140</v>
      </c>
      <c r="D36" s="4" t="s">
        <v>141</v>
      </c>
      <c r="E36" s="4" t="s">
        <v>142</v>
      </c>
      <c r="F36" s="5" t="s">
        <v>143</v>
      </c>
      <c r="G36" s="6" t="s">
        <v>21</v>
      </c>
      <c r="H36" s="11" t="s">
        <v>86</v>
      </c>
      <c r="I36" s="4" t="s">
        <v>16</v>
      </c>
      <c r="J36" s="8"/>
      <c r="K36" s="8"/>
      <c r="L36" s="8"/>
      <c r="M36" s="8"/>
      <c r="N36" s="8"/>
      <c r="O36" s="8"/>
      <c r="P36" s="8"/>
      <c r="Q36" s="8"/>
      <c r="R36" s="8"/>
      <c r="S36" s="8"/>
      <c r="T36" s="8"/>
      <c r="U36" s="8"/>
      <c r="V36" s="8"/>
      <c r="W36" s="8"/>
      <c r="X36" s="8"/>
      <c r="Y36" s="8"/>
      <c r="Z36" s="8"/>
    </row>
    <row r="37">
      <c r="A37" s="2">
        <v>36.0</v>
      </c>
      <c r="B37" s="10" t="s">
        <v>77</v>
      </c>
      <c r="C37" s="4" t="s">
        <v>144</v>
      </c>
      <c r="D37" s="4" t="s">
        <v>145</v>
      </c>
      <c r="E37" s="4" t="s">
        <v>146</v>
      </c>
      <c r="F37" s="5" t="s">
        <v>55</v>
      </c>
      <c r="G37" s="6" t="s">
        <v>21</v>
      </c>
      <c r="H37" s="11" t="s">
        <v>86</v>
      </c>
      <c r="I37" s="4" t="s">
        <v>16</v>
      </c>
      <c r="J37" s="8"/>
      <c r="K37" s="8"/>
      <c r="L37" s="8"/>
      <c r="M37" s="8"/>
      <c r="N37" s="8"/>
      <c r="O37" s="8"/>
      <c r="P37" s="8"/>
      <c r="Q37" s="8"/>
      <c r="R37" s="8"/>
      <c r="S37" s="8"/>
      <c r="T37" s="8"/>
      <c r="U37" s="8"/>
      <c r="V37" s="8"/>
      <c r="W37" s="8"/>
      <c r="X37" s="8"/>
      <c r="Y37" s="8"/>
      <c r="Z37" s="8"/>
    </row>
    <row r="38">
      <c r="A38" s="2">
        <v>37.0</v>
      </c>
      <c r="B38" s="10" t="s">
        <v>77</v>
      </c>
      <c r="C38" s="4" t="s">
        <v>147</v>
      </c>
      <c r="D38" s="4" t="s">
        <v>148</v>
      </c>
      <c r="E38" s="4" t="s">
        <v>149</v>
      </c>
      <c r="F38" s="5" t="s">
        <v>55</v>
      </c>
      <c r="G38" s="6" t="s">
        <v>21</v>
      </c>
      <c r="H38" s="7" t="s">
        <v>15</v>
      </c>
      <c r="I38" s="4" t="s">
        <v>16</v>
      </c>
      <c r="J38" s="8"/>
      <c r="K38" s="8"/>
      <c r="L38" s="8"/>
      <c r="M38" s="8"/>
      <c r="N38" s="8"/>
      <c r="O38" s="8"/>
      <c r="P38" s="8"/>
      <c r="Q38" s="8"/>
      <c r="R38" s="8"/>
      <c r="S38" s="8"/>
      <c r="T38" s="8"/>
      <c r="U38" s="8"/>
      <c r="V38" s="8"/>
      <c r="W38" s="8"/>
      <c r="X38" s="8"/>
      <c r="Y38" s="8"/>
      <c r="Z38" s="8"/>
    </row>
    <row r="39">
      <c r="A39" s="2">
        <v>38.0</v>
      </c>
      <c r="B39" s="10" t="s">
        <v>77</v>
      </c>
      <c r="C39" s="4" t="s">
        <v>150</v>
      </c>
      <c r="D39" s="4" t="s">
        <v>151</v>
      </c>
      <c r="E39" s="4" t="s">
        <v>152</v>
      </c>
      <c r="F39" s="5" t="s">
        <v>55</v>
      </c>
      <c r="G39" s="6" t="s">
        <v>21</v>
      </c>
      <c r="H39" s="9" t="s">
        <v>31</v>
      </c>
      <c r="I39" s="4" t="s">
        <v>16</v>
      </c>
      <c r="J39" s="8"/>
      <c r="K39" s="8"/>
      <c r="L39" s="8"/>
      <c r="M39" s="8"/>
      <c r="N39" s="8"/>
      <c r="O39" s="8"/>
      <c r="P39" s="8"/>
      <c r="Q39" s="8"/>
      <c r="R39" s="8"/>
      <c r="S39" s="8"/>
      <c r="T39" s="8"/>
      <c r="U39" s="8"/>
      <c r="V39" s="8"/>
      <c r="W39" s="8"/>
      <c r="X39" s="8"/>
      <c r="Y39" s="8"/>
      <c r="Z39" s="8"/>
    </row>
    <row r="40">
      <c r="A40" s="2">
        <v>39.0</v>
      </c>
      <c r="B40" s="10" t="s">
        <v>77</v>
      </c>
      <c r="C40" s="4" t="s">
        <v>153</v>
      </c>
      <c r="D40" s="4" t="s">
        <v>154</v>
      </c>
      <c r="E40" s="4" t="s">
        <v>155</v>
      </c>
      <c r="F40" s="5" t="s">
        <v>55</v>
      </c>
      <c r="G40" s="6" t="s">
        <v>21</v>
      </c>
      <c r="H40" s="9" t="s">
        <v>31</v>
      </c>
      <c r="I40" s="4" t="s">
        <v>16</v>
      </c>
      <c r="J40" s="8"/>
      <c r="K40" s="8"/>
      <c r="L40" s="8"/>
      <c r="M40" s="8"/>
      <c r="N40" s="8"/>
      <c r="O40" s="8"/>
      <c r="P40" s="8"/>
      <c r="Q40" s="8"/>
      <c r="R40" s="8"/>
      <c r="S40" s="8"/>
      <c r="T40" s="8"/>
      <c r="U40" s="8"/>
      <c r="V40" s="8"/>
      <c r="W40" s="8"/>
      <c r="X40" s="8"/>
      <c r="Y40" s="8"/>
      <c r="Z40" s="8"/>
    </row>
    <row r="41">
      <c r="A41" s="2">
        <v>40.0</v>
      </c>
      <c r="B41" s="10" t="s">
        <v>77</v>
      </c>
      <c r="C41" s="4" t="s">
        <v>156</v>
      </c>
      <c r="D41" s="4" t="s">
        <v>157</v>
      </c>
      <c r="E41" s="4" t="s">
        <v>158</v>
      </c>
      <c r="F41" s="5" t="s">
        <v>55</v>
      </c>
      <c r="G41" s="6" t="s">
        <v>21</v>
      </c>
      <c r="H41" s="9" t="s">
        <v>31</v>
      </c>
      <c r="I41" s="4" t="s">
        <v>16</v>
      </c>
      <c r="J41" s="8"/>
      <c r="K41" s="8"/>
      <c r="L41" s="8"/>
      <c r="M41" s="8"/>
      <c r="N41" s="8"/>
      <c r="O41" s="8"/>
      <c r="P41" s="8"/>
      <c r="Q41" s="8"/>
      <c r="R41" s="8"/>
      <c r="S41" s="8"/>
      <c r="T41" s="8"/>
      <c r="U41" s="8"/>
      <c r="V41" s="8"/>
      <c r="W41" s="8"/>
      <c r="X41" s="8"/>
      <c r="Y41" s="8"/>
      <c r="Z41" s="8"/>
    </row>
    <row r="42">
      <c r="A42" s="2">
        <v>41.0</v>
      </c>
      <c r="B42" s="10" t="s">
        <v>77</v>
      </c>
      <c r="C42" s="4" t="s">
        <v>159</v>
      </c>
      <c r="D42" s="4" t="s">
        <v>160</v>
      </c>
      <c r="E42" s="4" t="s">
        <v>161</v>
      </c>
      <c r="F42" s="5" t="s">
        <v>55</v>
      </c>
      <c r="G42" s="6" t="s">
        <v>21</v>
      </c>
      <c r="H42" s="9" t="s">
        <v>31</v>
      </c>
      <c r="I42" s="4" t="s">
        <v>16</v>
      </c>
      <c r="J42" s="8"/>
      <c r="K42" s="8"/>
      <c r="L42" s="8"/>
      <c r="M42" s="8"/>
      <c r="N42" s="8"/>
      <c r="O42" s="8"/>
      <c r="P42" s="8"/>
      <c r="Q42" s="8"/>
      <c r="R42" s="8"/>
      <c r="S42" s="8"/>
      <c r="T42" s="8"/>
      <c r="U42" s="8"/>
      <c r="V42" s="8"/>
      <c r="W42" s="8"/>
      <c r="X42" s="8"/>
      <c r="Y42" s="8"/>
      <c r="Z42" s="8"/>
    </row>
    <row r="43">
      <c r="A43" s="2">
        <v>42.0</v>
      </c>
      <c r="B43" s="10" t="s">
        <v>77</v>
      </c>
      <c r="C43" s="4" t="s">
        <v>162</v>
      </c>
      <c r="D43" s="4" t="s">
        <v>163</v>
      </c>
      <c r="E43" s="4" t="s">
        <v>164</v>
      </c>
      <c r="F43" s="5" t="s">
        <v>55</v>
      </c>
      <c r="G43" s="6" t="s">
        <v>21</v>
      </c>
      <c r="H43" s="9" t="s">
        <v>31</v>
      </c>
      <c r="I43" s="4" t="s">
        <v>16</v>
      </c>
      <c r="J43" s="8"/>
      <c r="K43" s="8"/>
      <c r="L43" s="8"/>
      <c r="M43" s="8"/>
      <c r="N43" s="8"/>
      <c r="O43" s="8"/>
      <c r="P43" s="8"/>
      <c r="Q43" s="8"/>
      <c r="R43" s="8"/>
      <c r="S43" s="8"/>
      <c r="T43" s="8"/>
      <c r="U43" s="8"/>
      <c r="V43" s="8"/>
      <c r="W43" s="8"/>
      <c r="X43" s="8"/>
      <c r="Y43" s="8"/>
      <c r="Z43" s="8"/>
    </row>
    <row r="44">
      <c r="A44" s="2">
        <v>43.0</v>
      </c>
      <c r="B44" s="10" t="s">
        <v>77</v>
      </c>
      <c r="C44" s="4" t="s">
        <v>165</v>
      </c>
      <c r="D44" s="4" t="s">
        <v>166</v>
      </c>
      <c r="E44" s="4" t="s">
        <v>167</v>
      </c>
      <c r="F44" s="5" t="s">
        <v>55</v>
      </c>
      <c r="G44" s="6" t="s">
        <v>21</v>
      </c>
      <c r="H44" s="11" t="s">
        <v>86</v>
      </c>
      <c r="I44" s="4" t="s">
        <v>16</v>
      </c>
      <c r="J44" s="8"/>
      <c r="K44" s="8"/>
      <c r="L44" s="8"/>
      <c r="M44" s="8"/>
      <c r="N44" s="8"/>
      <c r="O44" s="8"/>
      <c r="P44" s="8"/>
      <c r="Q44" s="8"/>
      <c r="R44" s="8"/>
      <c r="S44" s="8"/>
      <c r="T44" s="8"/>
      <c r="U44" s="8"/>
      <c r="V44" s="8"/>
      <c r="W44" s="8"/>
      <c r="X44" s="8"/>
      <c r="Y44" s="8"/>
      <c r="Z44" s="8"/>
    </row>
    <row r="45">
      <c r="A45" s="2">
        <v>44.0</v>
      </c>
      <c r="B45" s="10" t="s">
        <v>77</v>
      </c>
      <c r="C45" s="4" t="s">
        <v>168</v>
      </c>
      <c r="D45" s="4" t="s">
        <v>169</v>
      </c>
      <c r="E45" s="4" t="s">
        <v>170</v>
      </c>
      <c r="F45" s="5" t="s">
        <v>55</v>
      </c>
      <c r="G45" s="6" t="s">
        <v>21</v>
      </c>
      <c r="H45" s="9" t="s">
        <v>31</v>
      </c>
      <c r="I45" s="4" t="s">
        <v>16</v>
      </c>
      <c r="J45" s="8"/>
      <c r="K45" s="8"/>
      <c r="L45" s="8"/>
      <c r="M45" s="8"/>
      <c r="N45" s="8"/>
      <c r="O45" s="8"/>
      <c r="P45" s="8"/>
      <c r="Q45" s="8"/>
      <c r="R45" s="8"/>
      <c r="S45" s="8"/>
      <c r="T45" s="8"/>
      <c r="U45" s="8"/>
      <c r="V45" s="8"/>
      <c r="W45" s="8"/>
      <c r="X45" s="8"/>
      <c r="Y45" s="8"/>
      <c r="Z45" s="8"/>
    </row>
    <row r="46">
      <c r="A46" s="2">
        <v>45.0</v>
      </c>
      <c r="B46" s="10" t="s">
        <v>77</v>
      </c>
      <c r="C46" s="4" t="s">
        <v>171</v>
      </c>
      <c r="D46" s="4" t="s">
        <v>172</v>
      </c>
      <c r="E46" s="4" t="s">
        <v>173</v>
      </c>
      <c r="F46" s="5" t="s">
        <v>55</v>
      </c>
      <c r="G46" s="6" t="s">
        <v>21</v>
      </c>
      <c r="H46" s="9" t="s">
        <v>31</v>
      </c>
      <c r="I46" s="4" t="s">
        <v>16</v>
      </c>
      <c r="J46" s="8"/>
      <c r="K46" s="8"/>
      <c r="L46" s="8"/>
      <c r="M46" s="8"/>
      <c r="N46" s="8"/>
      <c r="O46" s="8"/>
      <c r="P46" s="8"/>
      <c r="Q46" s="8"/>
      <c r="R46" s="8"/>
      <c r="S46" s="8"/>
      <c r="T46" s="8"/>
      <c r="U46" s="8"/>
      <c r="V46" s="8"/>
      <c r="W46" s="8"/>
      <c r="X46" s="8"/>
      <c r="Y46" s="8"/>
      <c r="Z46" s="8"/>
    </row>
    <row r="47">
      <c r="A47" s="2">
        <v>46.0</v>
      </c>
      <c r="B47" s="10" t="s">
        <v>77</v>
      </c>
      <c r="C47" s="4" t="s">
        <v>174</v>
      </c>
      <c r="D47" s="4" t="s">
        <v>175</v>
      </c>
      <c r="E47" s="4" t="s">
        <v>176</v>
      </c>
      <c r="F47" s="5" t="s">
        <v>55</v>
      </c>
      <c r="G47" s="6" t="s">
        <v>21</v>
      </c>
      <c r="H47" s="9" t="s">
        <v>31</v>
      </c>
      <c r="I47" s="4" t="s">
        <v>16</v>
      </c>
      <c r="J47" s="8"/>
      <c r="K47" s="8"/>
      <c r="L47" s="8"/>
      <c r="M47" s="8"/>
      <c r="N47" s="8"/>
      <c r="O47" s="8"/>
      <c r="P47" s="8"/>
      <c r="Q47" s="8"/>
      <c r="R47" s="8"/>
      <c r="S47" s="8"/>
      <c r="T47" s="8"/>
      <c r="U47" s="8"/>
      <c r="V47" s="8"/>
      <c r="W47" s="8"/>
      <c r="X47" s="8"/>
      <c r="Y47" s="8"/>
      <c r="Z47" s="8"/>
    </row>
    <row r="48">
      <c r="A48" s="2">
        <v>47.0</v>
      </c>
      <c r="B48" s="10" t="s">
        <v>77</v>
      </c>
      <c r="C48" s="4" t="s">
        <v>177</v>
      </c>
      <c r="D48" s="4" t="s">
        <v>178</v>
      </c>
      <c r="E48" s="4" t="s">
        <v>179</v>
      </c>
      <c r="F48" s="5" t="s">
        <v>55</v>
      </c>
      <c r="G48" s="6" t="s">
        <v>21</v>
      </c>
      <c r="H48" s="11" t="s">
        <v>86</v>
      </c>
      <c r="I48" s="4" t="s">
        <v>16</v>
      </c>
      <c r="J48" s="8"/>
      <c r="K48" s="8"/>
      <c r="L48" s="8"/>
      <c r="M48" s="8"/>
      <c r="N48" s="8"/>
      <c r="O48" s="8"/>
      <c r="P48" s="8"/>
      <c r="Q48" s="8"/>
      <c r="R48" s="8"/>
      <c r="S48" s="8"/>
      <c r="T48" s="8"/>
      <c r="U48" s="8"/>
      <c r="V48" s="8"/>
      <c r="W48" s="8"/>
      <c r="X48" s="8"/>
      <c r="Y48" s="8"/>
      <c r="Z48" s="8"/>
    </row>
    <row r="49">
      <c r="A49" s="2">
        <v>48.0</v>
      </c>
      <c r="B49" s="13" t="s">
        <v>180</v>
      </c>
      <c r="C49" s="4" t="s">
        <v>181</v>
      </c>
      <c r="D49" s="4" t="s">
        <v>182</v>
      </c>
      <c r="E49" s="4" t="s">
        <v>183</v>
      </c>
      <c r="F49" s="5" t="s">
        <v>184</v>
      </c>
      <c r="G49" s="6" t="s">
        <v>14</v>
      </c>
      <c r="H49" s="9" t="s">
        <v>31</v>
      </c>
      <c r="I49" s="4" t="s">
        <v>16</v>
      </c>
      <c r="J49" s="8"/>
      <c r="K49" s="8"/>
      <c r="L49" s="8"/>
      <c r="M49" s="8"/>
      <c r="N49" s="8"/>
      <c r="O49" s="8"/>
      <c r="P49" s="8"/>
      <c r="Q49" s="8"/>
      <c r="R49" s="8"/>
      <c r="S49" s="8"/>
      <c r="T49" s="8"/>
      <c r="U49" s="8"/>
      <c r="V49" s="8"/>
      <c r="W49" s="8"/>
      <c r="X49" s="8"/>
      <c r="Y49" s="8"/>
      <c r="Z49" s="8"/>
    </row>
    <row r="50">
      <c r="A50" s="2">
        <v>49.0</v>
      </c>
      <c r="B50" s="13" t="s">
        <v>180</v>
      </c>
      <c r="C50" s="4" t="s">
        <v>185</v>
      </c>
      <c r="D50" s="4" t="s">
        <v>186</v>
      </c>
      <c r="E50" s="4" t="s">
        <v>187</v>
      </c>
      <c r="F50" s="5" t="s">
        <v>188</v>
      </c>
      <c r="G50" s="6" t="s">
        <v>14</v>
      </c>
      <c r="H50" s="9" t="s">
        <v>31</v>
      </c>
      <c r="I50" s="4" t="s">
        <v>16</v>
      </c>
      <c r="J50" s="8"/>
      <c r="K50" s="8"/>
      <c r="L50" s="8"/>
      <c r="M50" s="8"/>
      <c r="N50" s="8"/>
      <c r="O50" s="8"/>
      <c r="P50" s="8"/>
      <c r="Q50" s="8"/>
      <c r="R50" s="8"/>
      <c r="S50" s="8"/>
      <c r="T50" s="8"/>
      <c r="U50" s="8"/>
      <c r="V50" s="8"/>
      <c r="W50" s="8"/>
      <c r="X50" s="8"/>
      <c r="Y50" s="8"/>
      <c r="Z50" s="8"/>
    </row>
    <row r="51">
      <c r="A51" s="2">
        <v>50.0</v>
      </c>
      <c r="B51" s="13" t="s">
        <v>180</v>
      </c>
      <c r="C51" s="4" t="s">
        <v>189</v>
      </c>
      <c r="D51" s="4" t="s">
        <v>190</v>
      </c>
      <c r="E51" s="4" t="s">
        <v>191</v>
      </c>
      <c r="F51" s="5" t="s">
        <v>192</v>
      </c>
      <c r="G51" s="6" t="s">
        <v>14</v>
      </c>
      <c r="H51" s="9" t="s">
        <v>31</v>
      </c>
      <c r="I51" s="4" t="s">
        <v>16</v>
      </c>
      <c r="J51" s="8"/>
      <c r="K51" s="8"/>
      <c r="L51" s="8"/>
      <c r="M51" s="8"/>
      <c r="N51" s="8"/>
      <c r="O51" s="8"/>
      <c r="P51" s="8"/>
      <c r="Q51" s="8"/>
      <c r="R51" s="8"/>
      <c r="S51" s="8"/>
      <c r="T51" s="8"/>
      <c r="U51" s="8"/>
      <c r="V51" s="8"/>
      <c r="W51" s="8"/>
      <c r="X51" s="8"/>
      <c r="Y51" s="8"/>
      <c r="Z51" s="8"/>
    </row>
    <row r="52">
      <c r="A52" s="2">
        <v>51.0</v>
      </c>
      <c r="B52" s="13" t="s">
        <v>180</v>
      </c>
      <c r="C52" s="4" t="s">
        <v>193</v>
      </c>
      <c r="D52" s="4" t="s">
        <v>194</v>
      </c>
      <c r="E52" s="4" t="s">
        <v>195</v>
      </c>
      <c r="F52" s="5" t="s">
        <v>55</v>
      </c>
      <c r="G52" s="6" t="s">
        <v>21</v>
      </c>
      <c r="H52" s="9" t="s">
        <v>31</v>
      </c>
      <c r="I52" s="4" t="s">
        <v>16</v>
      </c>
      <c r="J52" s="8"/>
      <c r="K52" s="8"/>
      <c r="L52" s="8"/>
      <c r="M52" s="8"/>
      <c r="N52" s="8"/>
      <c r="O52" s="8"/>
      <c r="P52" s="8"/>
      <c r="Q52" s="8"/>
      <c r="R52" s="8"/>
      <c r="S52" s="8"/>
      <c r="T52" s="8"/>
      <c r="U52" s="8"/>
      <c r="V52" s="8"/>
      <c r="W52" s="8"/>
      <c r="X52" s="8"/>
      <c r="Y52" s="8"/>
      <c r="Z52" s="8"/>
    </row>
    <row r="53">
      <c r="A53" s="2">
        <v>52.0</v>
      </c>
      <c r="B53" s="13" t="s">
        <v>180</v>
      </c>
      <c r="C53" s="4" t="s">
        <v>196</v>
      </c>
      <c r="D53" s="4" t="s">
        <v>197</v>
      </c>
      <c r="E53" s="4" t="s">
        <v>198</v>
      </c>
      <c r="F53" s="5" t="s">
        <v>55</v>
      </c>
      <c r="G53" s="6" t="s">
        <v>21</v>
      </c>
      <c r="H53" s="11" t="s">
        <v>86</v>
      </c>
      <c r="I53" s="4" t="s">
        <v>16</v>
      </c>
      <c r="J53" s="8"/>
      <c r="K53" s="8"/>
      <c r="L53" s="8"/>
      <c r="M53" s="8"/>
      <c r="N53" s="8"/>
      <c r="O53" s="8"/>
      <c r="P53" s="8"/>
      <c r="Q53" s="8"/>
      <c r="R53" s="8"/>
      <c r="S53" s="8"/>
      <c r="T53" s="8"/>
      <c r="U53" s="8"/>
      <c r="V53" s="8"/>
      <c r="W53" s="8"/>
      <c r="X53" s="8"/>
      <c r="Y53" s="8"/>
      <c r="Z53" s="8"/>
    </row>
    <row r="54">
      <c r="A54" s="2">
        <v>53.0</v>
      </c>
      <c r="B54" s="13" t="s">
        <v>180</v>
      </c>
      <c r="C54" s="4" t="s">
        <v>199</v>
      </c>
      <c r="D54" s="4" t="s">
        <v>200</v>
      </c>
      <c r="E54" s="4" t="s">
        <v>201</v>
      </c>
      <c r="F54" s="5" t="s">
        <v>55</v>
      </c>
      <c r="G54" s="6" t="s">
        <v>21</v>
      </c>
      <c r="H54" s="11" t="s">
        <v>86</v>
      </c>
      <c r="I54" s="4" t="s">
        <v>16</v>
      </c>
      <c r="J54" s="8"/>
      <c r="K54" s="8"/>
      <c r="L54" s="8"/>
      <c r="M54" s="8"/>
      <c r="N54" s="8"/>
      <c r="O54" s="8"/>
      <c r="P54" s="8"/>
      <c r="Q54" s="8"/>
      <c r="R54" s="8"/>
      <c r="S54" s="8"/>
      <c r="T54" s="8"/>
      <c r="U54" s="8"/>
      <c r="V54" s="8"/>
      <c r="W54" s="8"/>
      <c r="X54" s="8"/>
      <c r="Y54" s="8"/>
      <c r="Z54" s="8"/>
    </row>
    <row r="55">
      <c r="A55" s="2">
        <v>54.0</v>
      </c>
      <c r="B55" s="13" t="s">
        <v>180</v>
      </c>
      <c r="C55" s="4" t="s">
        <v>202</v>
      </c>
      <c r="D55" s="4" t="s">
        <v>203</v>
      </c>
      <c r="E55" s="4" t="s">
        <v>204</v>
      </c>
      <c r="F55" s="5" t="s">
        <v>55</v>
      </c>
      <c r="G55" s="6" t="s">
        <v>21</v>
      </c>
      <c r="H55" s="11" t="s">
        <v>86</v>
      </c>
      <c r="I55" s="4" t="s">
        <v>16</v>
      </c>
      <c r="J55" s="8"/>
      <c r="K55" s="8"/>
      <c r="L55" s="8"/>
      <c r="M55" s="8"/>
      <c r="N55" s="8"/>
      <c r="O55" s="8"/>
      <c r="P55" s="8"/>
      <c r="Q55" s="8"/>
      <c r="R55" s="8"/>
      <c r="S55" s="8"/>
      <c r="T55" s="8"/>
      <c r="U55" s="8"/>
      <c r="V55" s="8"/>
      <c r="W55" s="8"/>
      <c r="X55" s="8"/>
      <c r="Y55" s="8"/>
      <c r="Z55" s="8"/>
    </row>
    <row r="56">
      <c r="A56" s="2">
        <v>55.0</v>
      </c>
      <c r="B56" s="13" t="s">
        <v>180</v>
      </c>
      <c r="C56" s="4" t="s">
        <v>205</v>
      </c>
      <c r="D56" s="4" t="s">
        <v>206</v>
      </c>
      <c r="E56" s="4" t="s">
        <v>207</v>
      </c>
      <c r="F56" s="5" t="s">
        <v>208</v>
      </c>
      <c r="G56" s="6" t="s">
        <v>14</v>
      </c>
      <c r="H56" s="9" t="s">
        <v>31</v>
      </c>
      <c r="I56" s="4" t="s">
        <v>16</v>
      </c>
      <c r="J56" s="8"/>
      <c r="K56" s="8"/>
      <c r="L56" s="8"/>
      <c r="M56" s="8"/>
      <c r="N56" s="8"/>
      <c r="O56" s="8"/>
      <c r="P56" s="8"/>
      <c r="Q56" s="8"/>
      <c r="R56" s="8"/>
      <c r="S56" s="8"/>
      <c r="T56" s="8"/>
      <c r="U56" s="8"/>
      <c r="V56" s="8"/>
      <c r="W56" s="8"/>
      <c r="X56" s="8"/>
      <c r="Y56" s="8"/>
      <c r="Z56" s="8"/>
    </row>
    <row r="57">
      <c r="A57" s="2">
        <v>56.0</v>
      </c>
      <c r="B57" s="13" t="s">
        <v>180</v>
      </c>
      <c r="C57" s="4" t="s">
        <v>209</v>
      </c>
      <c r="D57" s="4" t="s">
        <v>210</v>
      </c>
      <c r="E57" s="4" t="s">
        <v>211</v>
      </c>
      <c r="F57" s="5" t="s">
        <v>212</v>
      </c>
      <c r="G57" s="6" t="s">
        <v>14</v>
      </c>
      <c r="H57" s="9" t="s">
        <v>31</v>
      </c>
      <c r="I57" s="4" t="s">
        <v>16</v>
      </c>
      <c r="J57" s="8"/>
      <c r="K57" s="8"/>
      <c r="L57" s="8"/>
      <c r="M57" s="8"/>
      <c r="N57" s="8"/>
      <c r="O57" s="8"/>
      <c r="P57" s="8"/>
      <c r="Q57" s="8"/>
      <c r="R57" s="8"/>
      <c r="S57" s="8"/>
      <c r="T57" s="8"/>
      <c r="U57" s="8"/>
      <c r="V57" s="8"/>
      <c r="W57" s="8"/>
      <c r="X57" s="8"/>
      <c r="Y57" s="8"/>
      <c r="Z57" s="8"/>
    </row>
    <row r="58">
      <c r="A58" s="2">
        <v>57.0</v>
      </c>
      <c r="B58" s="13" t="s">
        <v>180</v>
      </c>
      <c r="C58" s="4" t="s">
        <v>213</v>
      </c>
      <c r="D58" s="4" t="s">
        <v>214</v>
      </c>
      <c r="E58" s="4" t="s">
        <v>215</v>
      </c>
      <c r="F58" s="5" t="s">
        <v>216</v>
      </c>
      <c r="G58" s="6" t="s">
        <v>14</v>
      </c>
      <c r="H58" s="9" t="s">
        <v>31</v>
      </c>
      <c r="I58" s="4" t="s">
        <v>16</v>
      </c>
      <c r="J58" s="8"/>
      <c r="K58" s="8"/>
      <c r="L58" s="8"/>
      <c r="M58" s="8"/>
      <c r="N58" s="8"/>
      <c r="O58" s="8"/>
      <c r="P58" s="8"/>
      <c r="Q58" s="8"/>
      <c r="R58" s="8"/>
      <c r="S58" s="8"/>
      <c r="T58" s="8"/>
      <c r="U58" s="8"/>
      <c r="V58" s="8"/>
      <c r="W58" s="8"/>
      <c r="X58" s="8"/>
      <c r="Y58" s="8"/>
      <c r="Z58" s="8"/>
    </row>
    <row r="59">
      <c r="A59" s="2">
        <v>58.0</v>
      </c>
      <c r="B59" s="13" t="s">
        <v>180</v>
      </c>
      <c r="C59" s="4" t="s">
        <v>217</v>
      </c>
      <c r="D59" s="4" t="s">
        <v>218</v>
      </c>
      <c r="E59" s="4" t="s">
        <v>219</v>
      </c>
      <c r="F59" s="5" t="s">
        <v>55</v>
      </c>
      <c r="G59" s="6" t="s">
        <v>21</v>
      </c>
      <c r="H59" s="11" t="s">
        <v>86</v>
      </c>
      <c r="I59" s="4" t="s">
        <v>16</v>
      </c>
      <c r="J59" s="8"/>
      <c r="K59" s="8"/>
      <c r="L59" s="8"/>
      <c r="M59" s="8"/>
      <c r="N59" s="8"/>
      <c r="O59" s="8"/>
      <c r="P59" s="8"/>
      <c r="Q59" s="8"/>
      <c r="R59" s="8"/>
      <c r="S59" s="8"/>
      <c r="T59" s="8"/>
      <c r="U59" s="8"/>
      <c r="V59" s="8"/>
      <c r="W59" s="8"/>
      <c r="X59" s="8"/>
      <c r="Y59" s="8"/>
      <c r="Z59" s="8"/>
    </row>
    <row r="60">
      <c r="A60" s="2">
        <v>59.0</v>
      </c>
      <c r="B60" s="13" t="s">
        <v>180</v>
      </c>
      <c r="C60" s="4" t="s">
        <v>220</v>
      </c>
      <c r="D60" s="4" t="s">
        <v>221</v>
      </c>
      <c r="E60" s="4" t="s">
        <v>222</v>
      </c>
      <c r="F60" s="5" t="s">
        <v>55</v>
      </c>
      <c r="G60" s="6" t="s">
        <v>21</v>
      </c>
      <c r="H60" s="7" t="s">
        <v>15</v>
      </c>
      <c r="I60" s="4" t="s">
        <v>16</v>
      </c>
      <c r="J60" s="8"/>
      <c r="K60" s="8"/>
      <c r="L60" s="8"/>
      <c r="M60" s="8"/>
      <c r="N60" s="8"/>
      <c r="O60" s="8"/>
      <c r="P60" s="8"/>
      <c r="Q60" s="8"/>
      <c r="R60" s="8"/>
      <c r="S60" s="8"/>
      <c r="T60" s="8"/>
      <c r="U60" s="8"/>
      <c r="V60" s="8"/>
      <c r="W60" s="8"/>
      <c r="X60" s="8"/>
      <c r="Y60" s="8"/>
      <c r="Z60" s="8"/>
    </row>
    <row r="61">
      <c r="A61" s="2">
        <v>60.0</v>
      </c>
      <c r="B61" s="13" t="s">
        <v>180</v>
      </c>
      <c r="C61" s="4" t="s">
        <v>223</v>
      </c>
      <c r="D61" s="4" t="s">
        <v>224</v>
      </c>
      <c r="E61" s="4" t="s">
        <v>225</v>
      </c>
      <c r="F61" s="5" t="s">
        <v>55</v>
      </c>
      <c r="G61" s="6" t="s">
        <v>21</v>
      </c>
      <c r="H61" s="11" t="s">
        <v>86</v>
      </c>
      <c r="I61" s="4" t="s">
        <v>16</v>
      </c>
      <c r="J61" s="8"/>
      <c r="K61" s="8"/>
      <c r="L61" s="8"/>
      <c r="M61" s="8"/>
      <c r="N61" s="8"/>
      <c r="O61" s="8"/>
      <c r="P61" s="8"/>
      <c r="Q61" s="8"/>
      <c r="R61" s="8"/>
      <c r="S61" s="8"/>
      <c r="T61" s="8"/>
      <c r="U61" s="8"/>
      <c r="V61" s="8"/>
      <c r="W61" s="8"/>
      <c r="X61" s="8"/>
      <c r="Y61" s="8"/>
      <c r="Z61" s="8"/>
    </row>
    <row r="62">
      <c r="A62" s="2">
        <v>61.0</v>
      </c>
      <c r="B62" s="13" t="s">
        <v>180</v>
      </c>
      <c r="C62" s="4" t="s">
        <v>226</v>
      </c>
      <c r="D62" s="4" t="s">
        <v>227</v>
      </c>
      <c r="E62" s="4" t="s">
        <v>228</v>
      </c>
      <c r="F62" s="5" t="s">
        <v>55</v>
      </c>
      <c r="G62" s="6" t="s">
        <v>21</v>
      </c>
      <c r="H62" s="9" t="s">
        <v>31</v>
      </c>
      <c r="I62" s="4" t="s">
        <v>16</v>
      </c>
      <c r="J62" s="8"/>
      <c r="K62" s="8"/>
      <c r="L62" s="8"/>
      <c r="M62" s="8"/>
      <c r="N62" s="8"/>
      <c r="O62" s="8"/>
      <c r="P62" s="8"/>
      <c r="Q62" s="8"/>
      <c r="R62" s="8"/>
      <c r="S62" s="8"/>
      <c r="T62" s="8"/>
      <c r="U62" s="8"/>
      <c r="V62" s="8"/>
      <c r="W62" s="8"/>
      <c r="X62" s="8"/>
      <c r="Y62" s="8"/>
      <c r="Z62" s="8"/>
    </row>
    <row r="63">
      <c r="A63" s="2">
        <v>62.0</v>
      </c>
      <c r="B63" s="13" t="s">
        <v>180</v>
      </c>
      <c r="C63" s="4" t="s">
        <v>229</v>
      </c>
      <c r="D63" s="4" t="s">
        <v>230</v>
      </c>
      <c r="E63" s="4" t="s">
        <v>231</v>
      </c>
      <c r="F63" s="5" t="s">
        <v>55</v>
      </c>
      <c r="G63" s="6" t="s">
        <v>21</v>
      </c>
      <c r="H63" s="11" t="s">
        <v>86</v>
      </c>
      <c r="I63" s="4" t="s">
        <v>16</v>
      </c>
      <c r="J63" s="8"/>
      <c r="K63" s="8"/>
      <c r="L63" s="8"/>
      <c r="M63" s="8"/>
      <c r="N63" s="8"/>
      <c r="O63" s="8"/>
      <c r="P63" s="8"/>
      <c r="Q63" s="8"/>
      <c r="R63" s="8"/>
      <c r="S63" s="8"/>
      <c r="T63" s="8"/>
      <c r="U63" s="8"/>
      <c r="V63" s="8"/>
      <c r="W63" s="8"/>
      <c r="X63" s="8"/>
      <c r="Y63" s="8"/>
      <c r="Z63" s="8"/>
    </row>
    <row r="64">
      <c r="A64" s="2">
        <v>63.0</v>
      </c>
      <c r="B64" s="14" t="s">
        <v>232</v>
      </c>
      <c r="C64" s="4" t="s">
        <v>233</v>
      </c>
      <c r="D64" s="4" t="s">
        <v>234</v>
      </c>
      <c r="E64" s="4" t="s">
        <v>235</v>
      </c>
      <c r="F64" s="5" t="s">
        <v>55</v>
      </c>
      <c r="G64" s="6" t="s">
        <v>21</v>
      </c>
      <c r="H64" s="9" t="s">
        <v>31</v>
      </c>
      <c r="I64" s="4" t="s">
        <v>16</v>
      </c>
      <c r="J64" s="8"/>
      <c r="K64" s="8"/>
      <c r="L64" s="8"/>
      <c r="M64" s="8"/>
      <c r="N64" s="8"/>
      <c r="O64" s="8"/>
      <c r="P64" s="8"/>
      <c r="Q64" s="8"/>
      <c r="R64" s="8"/>
      <c r="S64" s="8"/>
      <c r="T64" s="8"/>
      <c r="U64" s="8"/>
      <c r="V64" s="8"/>
      <c r="W64" s="8"/>
      <c r="X64" s="8"/>
      <c r="Y64" s="8"/>
      <c r="Z64" s="8"/>
    </row>
    <row r="65">
      <c r="A65" s="2">
        <v>64.0</v>
      </c>
      <c r="B65" s="14" t="s">
        <v>232</v>
      </c>
      <c r="C65" s="4" t="s">
        <v>236</v>
      </c>
      <c r="D65" s="4" t="s">
        <v>237</v>
      </c>
      <c r="E65" s="4" t="s">
        <v>238</v>
      </c>
      <c r="F65" s="5" t="s">
        <v>55</v>
      </c>
      <c r="G65" s="6" t="s">
        <v>21</v>
      </c>
      <c r="H65" s="7" t="s">
        <v>15</v>
      </c>
      <c r="I65" s="4" t="s">
        <v>16</v>
      </c>
      <c r="J65" s="8"/>
      <c r="K65" s="8"/>
      <c r="L65" s="8"/>
      <c r="M65" s="8"/>
      <c r="N65" s="8"/>
      <c r="O65" s="8"/>
      <c r="P65" s="8"/>
      <c r="Q65" s="8"/>
      <c r="R65" s="8"/>
      <c r="S65" s="8"/>
      <c r="T65" s="8"/>
      <c r="U65" s="8"/>
      <c r="V65" s="8"/>
      <c r="W65" s="8"/>
      <c r="X65" s="8"/>
      <c r="Y65" s="8"/>
      <c r="Z65" s="8"/>
    </row>
    <row r="66">
      <c r="A66" s="2">
        <v>65.0</v>
      </c>
      <c r="B66" s="14" t="s">
        <v>232</v>
      </c>
      <c r="C66" s="4" t="s">
        <v>239</v>
      </c>
      <c r="D66" s="4" t="s">
        <v>240</v>
      </c>
      <c r="E66" s="4" t="s">
        <v>241</v>
      </c>
      <c r="F66" s="5" t="s">
        <v>55</v>
      </c>
      <c r="G66" s="6" t="s">
        <v>21</v>
      </c>
      <c r="H66" s="9" t="s">
        <v>31</v>
      </c>
      <c r="I66" s="4" t="s">
        <v>16</v>
      </c>
      <c r="J66" s="8"/>
      <c r="K66" s="8"/>
      <c r="L66" s="8"/>
      <c r="M66" s="8"/>
      <c r="N66" s="8"/>
      <c r="O66" s="8"/>
      <c r="P66" s="8"/>
      <c r="Q66" s="8"/>
      <c r="R66" s="8"/>
      <c r="S66" s="8"/>
      <c r="T66" s="8"/>
      <c r="U66" s="8"/>
      <c r="V66" s="8"/>
      <c r="W66" s="8"/>
      <c r="X66" s="8"/>
      <c r="Y66" s="8"/>
      <c r="Z66" s="8"/>
    </row>
    <row r="67">
      <c r="A67" s="2">
        <v>66.0</v>
      </c>
      <c r="B67" s="14" t="s">
        <v>232</v>
      </c>
      <c r="C67" s="4" t="s">
        <v>242</v>
      </c>
      <c r="D67" s="4" t="s">
        <v>243</v>
      </c>
      <c r="E67" s="4" t="s">
        <v>244</v>
      </c>
      <c r="F67" s="5" t="s">
        <v>55</v>
      </c>
      <c r="G67" s="6" t="s">
        <v>21</v>
      </c>
      <c r="H67" s="9" t="s">
        <v>31</v>
      </c>
      <c r="I67" s="4" t="s">
        <v>16</v>
      </c>
      <c r="J67" s="8"/>
      <c r="K67" s="8"/>
      <c r="L67" s="8"/>
      <c r="M67" s="8"/>
      <c r="N67" s="8"/>
      <c r="O67" s="8"/>
      <c r="P67" s="8"/>
      <c r="Q67" s="8"/>
      <c r="R67" s="8"/>
      <c r="S67" s="8"/>
      <c r="T67" s="8"/>
      <c r="U67" s="8"/>
      <c r="V67" s="8"/>
      <c r="W67" s="8"/>
      <c r="X67" s="8"/>
      <c r="Y67" s="8"/>
      <c r="Z67" s="8"/>
    </row>
    <row r="68">
      <c r="A68" s="2">
        <v>67.0</v>
      </c>
      <c r="B68" s="14" t="s">
        <v>232</v>
      </c>
      <c r="C68" s="4" t="s">
        <v>245</v>
      </c>
      <c r="D68" s="4" t="s">
        <v>246</v>
      </c>
      <c r="E68" s="4" t="s">
        <v>247</v>
      </c>
      <c r="F68" s="5" t="s">
        <v>55</v>
      </c>
      <c r="G68" s="6" t="s">
        <v>21</v>
      </c>
      <c r="H68" s="7" t="s">
        <v>15</v>
      </c>
      <c r="I68" s="4" t="s">
        <v>16</v>
      </c>
      <c r="J68" s="8"/>
      <c r="K68" s="8"/>
      <c r="L68" s="8"/>
      <c r="M68" s="8"/>
      <c r="N68" s="8"/>
      <c r="O68" s="8"/>
      <c r="P68" s="8"/>
      <c r="Q68" s="8"/>
      <c r="R68" s="8"/>
      <c r="S68" s="8"/>
      <c r="T68" s="8"/>
      <c r="U68" s="8"/>
      <c r="V68" s="8"/>
      <c r="W68" s="8"/>
      <c r="X68" s="8"/>
      <c r="Y68" s="8"/>
      <c r="Z68" s="8"/>
    </row>
    <row r="69">
      <c r="A69" s="2">
        <v>68.0</v>
      </c>
      <c r="B69" s="14" t="s">
        <v>232</v>
      </c>
      <c r="C69" s="4" t="s">
        <v>248</v>
      </c>
      <c r="D69" s="4" t="s">
        <v>249</v>
      </c>
      <c r="E69" s="4" t="s">
        <v>250</v>
      </c>
      <c r="F69" s="5" t="s">
        <v>55</v>
      </c>
      <c r="G69" s="6" t="s">
        <v>21</v>
      </c>
      <c r="H69" s="9" t="s">
        <v>31</v>
      </c>
      <c r="I69" s="4" t="s">
        <v>16</v>
      </c>
      <c r="J69" s="8"/>
      <c r="K69" s="8"/>
      <c r="L69" s="8"/>
      <c r="M69" s="8"/>
      <c r="N69" s="8"/>
      <c r="O69" s="8"/>
      <c r="P69" s="8"/>
      <c r="Q69" s="8"/>
      <c r="R69" s="8"/>
      <c r="S69" s="8"/>
      <c r="T69" s="8"/>
      <c r="U69" s="8"/>
      <c r="V69" s="8"/>
      <c r="W69" s="8"/>
      <c r="X69" s="8"/>
      <c r="Y69" s="8"/>
      <c r="Z69" s="8"/>
    </row>
    <row r="70">
      <c r="A70" s="2">
        <v>69.0</v>
      </c>
      <c r="B70" s="14" t="s">
        <v>232</v>
      </c>
      <c r="C70" s="4" t="s">
        <v>251</v>
      </c>
      <c r="D70" s="4" t="s">
        <v>252</v>
      </c>
      <c r="E70" s="4" t="s">
        <v>253</v>
      </c>
      <c r="F70" s="5" t="s">
        <v>55</v>
      </c>
      <c r="G70" s="6" t="s">
        <v>21</v>
      </c>
      <c r="H70" s="11" t="s">
        <v>86</v>
      </c>
      <c r="I70" s="4" t="s">
        <v>16</v>
      </c>
      <c r="J70" s="8"/>
      <c r="K70" s="8"/>
      <c r="L70" s="8"/>
      <c r="M70" s="8"/>
      <c r="N70" s="8"/>
      <c r="O70" s="8"/>
      <c r="P70" s="8"/>
      <c r="Q70" s="8"/>
      <c r="R70" s="8"/>
      <c r="S70" s="8"/>
      <c r="T70" s="8"/>
      <c r="U70" s="8"/>
      <c r="V70" s="8"/>
      <c r="W70" s="8"/>
      <c r="X70" s="8"/>
      <c r="Y70" s="8"/>
      <c r="Z70" s="8"/>
    </row>
    <row r="71">
      <c r="A71" s="2">
        <v>70.0</v>
      </c>
      <c r="B71" s="14" t="s">
        <v>232</v>
      </c>
      <c r="C71" s="4" t="s">
        <v>254</v>
      </c>
      <c r="D71" s="4" t="s">
        <v>255</v>
      </c>
      <c r="E71" s="4" t="s">
        <v>256</v>
      </c>
      <c r="F71" s="5" t="s">
        <v>55</v>
      </c>
      <c r="G71" s="6" t="s">
        <v>21</v>
      </c>
      <c r="H71" s="11" t="s">
        <v>86</v>
      </c>
      <c r="I71" s="4" t="s">
        <v>16</v>
      </c>
      <c r="J71" s="8"/>
      <c r="K71" s="8"/>
      <c r="L71" s="8"/>
      <c r="M71" s="8"/>
      <c r="N71" s="8"/>
      <c r="O71" s="8"/>
      <c r="P71" s="8"/>
      <c r="Q71" s="8"/>
      <c r="R71" s="8"/>
      <c r="S71" s="8"/>
      <c r="T71" s="8"/>
      <c r="U71" s="8"/>
      <c r="V71" s="8"/>
      <c r="W71" s="8"/>
      <c r="X71" s="8"/>
      <c r="Y71" s="8"/>
      <c r="Z71" s="8"/>
    </row>
    <row r="72">
      <c r="A72" s="2">
        <v>71.0</v>
      </c>
      <c r="B72" s="14" t="s">
        <v>232</v>
      </c>
      <c r="C72" s="4" t="s">
        <v>257</v>
      </c>
      <c r="D72" s="4" t="s">
        <v>258</v>
      </c>
      <c r="E72" s="4" t="s">
        <v>259</v>
      </c>
      <c r="F72" s="12" t="s">
        <v>55</v>
      </c>
      <c r="G72" s="6" t="s">
        <v>21</v>
      </c>
      <c r="H72" s="9" t="s">
        <v>31</v>
      </c>
      <c r="I72" s="4" t="s">
        <v>16</v>
      </c>
      <c r="J72" s="8"/>
      <c r="K72" s="8"/>
      <c r="L72" s="8"/>
      <c r="M72" s="8"/>
      <c r="N72" s="8"/>
      <c r="O72" s="8"/>
      <c r="P72" s="8"/>
      <c r="Q72" s="8"/>
      <c r="R72" s="8"/>
      <c r="S72" s="8"/>
      <c r="T72" s="8"/>
      <c r="U72" s="8"/>
      <c r="V72" s="8"/>
      <c r="W72" s="8"/>
      <c r="X72" s="8"/>
      <c r="Y72" s="8"/>
      <c r="Z72" s="8"/>
    </row>
    <row r="73">
      <c r="A73" s="2">
        <v>72.0</v>
      </c>
      <c r="B73" s="14" t="s">
        <v>232</v>
      </c>
      <c r="C73" s="4" t="s">
        <v>260</v>
      </c>
      <c r="D73" s="4" t="s">
        <v>261</v>
      </c>
      <c r="E73" s="4" t="s">
        <v>262</v>
      </c>
      <c r="F73" s="5" t="s">
        <v>55</v>
      </c>
      <c r="G73" s="6" t="s">
        <v>21</v>
      </c>
      <c r="H73" s="11" t="s">
        <v>86</v>
      </c>
      <c r="I73" s="4" t="s">
        <v>16</v>
      </c>
      <c r="J73" s="8"/>
      <c r="K73" s="8"/>
      <c r="L73" s="8"/>
      <c r="M73" s="8"/>
      <c r="N73" s="8"/>
      <c r="O73" s="8"/>
      <c r="P73" s="8"/>
      <c r="Q73" s="8"/>
      <c r="R73" s="8"/>
      <c r="S73" s="8"/>
      <c r="T73" s="8"/>
      <c r="U73" s="8"/>
      <c r="V73" s="8"/>
      <c r="W73" s="8"/>
      <c r="X73" s="8"/>
      <c r="Y73" s="8"/>
      <c r="Z73" s="8"/>
    </row>
    <row r="74">
      <c r="A74" s="2">
        <v>73.0</v>
      </c>
      <c r="B74" s="14" t="s">
        <v>232</v>
      </c>
      <c r="C74" s="4" t="s">
        <v>263</v>
      </c>
      <c r="D74" s="4" t="s">
        <v>264</v>
      </c>
      <c r="E74" s="4" t="s">
        <v>265</v>
      </c>
      <c r="F74" s="5" t="s">
        <v>266</v>
      </c>
      <c r="G74" s="6" t="s">
        <v>14</v>
      </c>
      <c r="H74" s="9" t="s">
        <v>31</v>
      </c>
      <c r="I74" s="4" t="s">
        <v>16</v>
      </c>
      <c r="J74" s="8"/>
      <c r="K74" s="8"/>
      <c r="L74" s="8"/>
      <c r="M74" s="8"/>
      <c r="N74" s="8"/>
      <c r="O74" s="8"/>
      <c r="P74" s="8"/>
      <c r="Q74" s="8"/>
      <c r="R74" s="8"/>
      <c r="S74" s="8"/>
      <c r="T74" s="8"/>
      <c r="U74" s="8"/>
      <c r="V74" s="8"/>
      <c r="W74" s="8"/>
      <c r="X74" s="8"/>
      <c r="Y74" s="8"/>
      <c r="Z74" s="8"/>
    </row>
    <row r="75">
      <c r="A75" s="2">
        <v>74.0</v>
      </c>
      <c r="B75" s="14" t="s">
        <v>232</v>
      </c>
      <c r="C75" s="4" t="s">
        <v>267</v>
      </c>
      <c r="D75" s="4" t="s">
        <v>268</v>
      </c>
      <c r="E75" s="4" t="s">
        <v>269</v>
      </c>
      <c r="F75" s="5" t="s">
        <v>55</v>
      </c>
      <c r="G75" s="6" t="s">
        <v>21</v>
      </c>
      <c r="H75" s="11" t="s">
        <v>86</v>
      </c>
      <c r="I75" s="4" t="s">
        <v>16</v>
      </c>
      <c r="J75" s="8"/>
      <c r="K75" s="8"/>
      <c r="L75" s="8"/>
      <c r="M75" s="8"/>
      <c r="N75" s="8"/>
      <c r="O75" s="8"/>
      <c r="P75" s="8"/>
      <c r="Q75" s="8"/>
      <c r="R75" s="8"/>
      <c r="S75" s="8"/>
      <c r="T75" s="8"/>
      <c r="U75" s="8"/>
      <c r="V75" s="8"/>
      <c r="W75" s="8"/>
      <c r="X75" s="8"/>
      <c r="Y75" s="8"/>
      <c r="Z75" s="8"/>
    </row>
    <row r="76">
      <c r="A76" s="2">
        <v>75.0</v>
      </c>
      <c r="B76" s="15" t="s">
        <v>270</v>
      </c>
      <c r="C76" s="4" t="s">
        <v>271</v>
      </c>
      <c r="D76" s="4" t="s">
        <v>272</v>
      </c>
      <c r="E76" s="4" t="s">
        <v>273</v>
      </c>
      <c r="F76" s="5" t="s">
        <v>55</v>
      </c>
      <c r="G76" s="6" t="s">
        <v>21</v>
      </c>
      <c r="H76" s="11" t="s">
        <v>86</v>
      </c>
      <c r="I76" s="4" t="s">
        <v>16</v>
      </c>
      <c r="J76" s="8"/>
      <c r="K76" s="8"/>
      <c r="L76" s="8"/>
      <c r="M76" s="8"/>
      <c r="N76" s="8"/>
      <c r="O76" s="8"/>
      <c r="P76" s="8"/>
      <c r="Q76" s="8"/>
      <c r="R76" s="8"/>
      <c r="S76" s="8"/>
      <c r="T76" s="8"/>
      <c r="U76" s="8"/>
      <c r="V76" s="8"/>
      <c r="W76" s="8"/>
      <c r="X76" s="8"/>
      <c r="Y76" s="8"/>
      <c r="Z76" s="8"/>
    </row>
    <row r="77">
      <c r="A77" s="2">
        <v>76.0</v>
      </c>
      <c r="B77" s="15" t="s">
        <v>270</v>
      </c>
      <c r="C77" s="4" t="s">
        <v>274</v>
      </c>
      <c r="D77" s="4" t="s">
        <v>275</v>
      </c>
      <c r="E77" s="4" t="s">
        <v>276</v>
      </c>
      <c r="F77" s="5" t="s">
        <v>55</v>
      </c>
      <c r="G77" s="6" t="s">
        <v>21</v>
      </c>
      <c r="H77" s="11" t="s">
        <v>86</v>
      </c>
      <c r="I77" s="4" t="s">
        <v>16</v>
      </c>
      <c r="J77" s="8"/>
      <c r="K77" s="8"/>
      <c r="L77" s="8"/>
      <c r="M77" s="8"/>
      <c r="N77" s="8"/>
      <c r="O77" s="8"/>
      <c r="P77" s="8"/>
      <c r="Q77" s="8"/>
      <c r="R77" s="8"/>
      <c r="S77" s="8"/>
      <c r="T77" s="8"/>
      <c r="U77" s="8"/>
      <c r="V77" s="8"/>
      <c r="W77" s="8"/>
      <c r="X77" s="8"/>
      <c r="Y77" s="8"/>
      <c r="Z77" s="8"/>
    </row>
    <row r="78">
      <c r="A78" s="2">
        <v>77.0</v>
      </c>
      <c r="B78" s="15" t="s">
        <v>270</v>
      </c>
      <c r="C78" s="4" t="s">
        <v>277</v>
      </c>
      <c r="D78" s="4" t="s">
        <v>278</v>
      </c>
      <c r="E78" s="4" t="s">
        <v>279</v>
      </c>
      <c r="F78" s="5" t="s">
        <v>55</v>
      </c>
      <c r="G78" s="6" t="s">
        <v>21</v>
      </c>
      <c r="H78" s="7" t="s">
        <v>15</v>
      </c>
      <c r="I78" s="4" t="s">
        <v>16</v>
      </c>
      <c r="J78" s="8"/>
      <c r="K78" s="8"/>
      <c r="L78" s="8"/>
      <c r="M78" s="8"/>
      <c r="N78" s="8"/>
      <c r="O78" s="8"/>
      <c r="P78" s="8"/>
      <c r="Q78" s="8"/>
      <c r="R78" s="8"/>
      <c r="S78" s="8"/>
      <c r="T78" s="8"/>
      <c r="U78" s="8"/>
      <c r="V78" s="8"/>
      <c r="W78" s="8"/>
      <c r="X78" s="8"/>
      <c r="Y78" s="8"/>
      <c r="Z78" s="8"/>
    </row>
    <row r="79">
      <c r="A79" s="2">
        <v>78.0</v>
      </c>
      <c r="B79" s="15" t="s">
        <v>270</v>
      </c>
      <c r="C79" s="4" t="s">
        <v>280</v>
      </c>
      <c r="D79" s="4" t="s">
        <v>281</v>
      </c>
      <c r="E79" s="4" t="s">
        <v>282</v>
      </c>
      <c r="F79" s="5" t="s">
        <v>55</v>
      </c>
      <c r="G79" s="6" t="s">
        <v>21</v>
      </c>
      <c r="H79" s="11" t="s">
        <v>86</v>
      </c>
      <c r="I79" s="4" t="s">
        <v>16</v>
      </c>
      <c r="J79" s="8"/>
      <c r="K79" s="8"/>
      <c r="L79" s="8"/>
      <c r="M79" s="8"/>
      <c r="N79" s="8"/>
      <c r="O79" s="8"/>
      <c r="P79" s="8"/>
      <c r="Q79" s="8"/>
      <c r="R79" s="8"/>
      <c r="S79" s="8"/>
      <c r="T79" s="8"/>
      <c r="U79" s="8"/>
      <c r="V79" s="8"/>
      <c r="W79" s="8"/>
      <c r="X79" s="8"/>
      <c r="Y79" s="8"/>
      <c r="Z79" s="8"/>
    </row>
    <row r="80">
      <c r="A80" s="2">
        <v>79.0</v>
      </c>
      <c r="B80" s="15" t="s">
        <v>270</v>
      </c>
      <c r="C80" s="4" t="s">
        <v>283</v>
      </c>
      <c r="D80" s="4" t="s">
        <v>284</v>
      </c>
      <c r="E80" s="4" t="s">
        <v>285</v>
      </c>
      <c r="F80" s="5" t="s">
        <v>55</v>
      </c>
      <c r="G80" s="6" t="s">
        <v>21</v>
      </c>
      <c r="H80" s="9" t="s">
        <v>31</v>
      </c>
      <c r="I80" s="4" t="s">
        <v>16</v>
      </c>
      <c r="J80" s="8"/>
      <c r="K80" s="8"/>
      <c r="L80" s="8"/>
      <c r="M80" s="8"/>
      <c r="N80" s="8"/>
      <c r="O80" s="8"/>
      <c r="P80" s="8"/>
      <c r="Q80" s="8"/>
      <c r="R80" s="8"/>
      <c r="S80" s="8"/>
      <c r="T80" s="8"/>
      <c r="U80" s="8"/>
      <c r="V80" s="8"/>
      <c r="W80" s="8"/>
      <c r="X80" s="8"/>
      <c r="Y80" s="8"/>
      <c r="Z80" s="8"/>
    </row>
    <row r="81">
      <c r="A81" s="2">
        <v>80.0</v>
      </c>
      <c r="B81" s="15" t="s">
        <v>270</v>
      </c>
      <c r="C81" s="4" t="s">
        <v>286</v>
      </c>
      <c r="D81" s="4" t="s">
        <v>287</v>
      </c>
      <c r="E81" s="4" t="s">
        <v>288</v>
      </c>
      <c r="F81" s="5" t="s">
        <v>55</v>
      </c>
      <c r="G81" s="6" t="s">
        <v>21</v>
      </c>
      <c r="H81" s="9" t="s">
        <v>31</v>
      </c>
      <c r="I81" s="4" t="s">
        <v>16</v>
      </c>
      <c r="J81" s="8"/>
      <c r="K81" s="8"/>
      <c r="L81" s="8"/>
      <c r="M81" s="8"/>
      <c r="N81" s="8"/>
      <c r="O81" s="8"/>
      <c r="P81" s="8"/>
      <c r="Q81" s="8"/>
      <c r="R81" s="8"/>
      <c r="S81" s="8"/>
      <c r="T81" s="8"/>
      <c r="U81" s="8"/>
      <c r="V81" s="8"/>
      <c r="W81" s="8"/>
      <c r="X81" s="8"/>
      <c r="Y81" s="8"/>
      <c r="Z81" s="8"/>
    </row>
    <row r="82">
      <c r="A82" s="2">
        <v>81.0</v>
      </c>
      <c r="B82" s="15" t="s">
        <v>270</v>
      </c>
      <c r="C82" s="4" t="s">
        <v>289</v>
      </c>
      <c r="D82" s="4" t="s">
        <v>290</v>
      </c>
      <c r="E82" s="4" t="s">
        <v>291</v>
      </c>
      <c r="F82" s="5" t="s">
        <v>55</v>
      </c>
      <c r="G82" s="6" t="s">
        <v>21</v>
      </c>
      <c r="H82" s="9" t="s">
        <v>31</v>
      </c>
      <c r="I82" s="4" t="s">
        <v>16</v>
      </c>
      <c r="J82" s="8"/>
      <c r="K82" s="8"/>
      <c r="L82" s="8"/>
      <c r="M82" s="8"/>
      <c r="N82" s="8"/>
      <c r="O82" s="8"/>
      <c r="P82" s="8"/>
      <c r="Q82" s="8"/>
      <c r="R82" s="8"/>
      <c r="S82" s="8"/>
      <c r="T82" s="8"/>
      <c r="U82" s="8"/>
      <c r="V82" s="8"/>
      <c r="W82" s="8"/>
      <c r="X82" s="8"/>
      <c r="Y82" s="8"/>
      <c r="Z82" s="8"/>
    </row>
    <row r="83">
      <c r="A83" s="2">
        <v>82.0</v>
      </c>
      <c r="B83" s="15" t="s">
        <v>270</v>
      </c>
      <c r="C83" s="4" t="s">
        <v>292</v>
      </c>
      <c r="D83" s="4" t="s">
        <v>293</v>
      </c>
      <c r="E83" s="4" t="s">
        <v>294</v>
      </c>
      <c r="F83" s="5" t="s">
        <v>295</v>
      </c>
      <c r="G83" s="6" t="s">
        <v>14</v>
      </c>
      <c r="H83" s="9" t="s">
        <v>31</v>
      </c>
      <c r="I83" s="4" t="s">
        <v>16</v>
      </c>
      <c r="J83" s="8"/>
      <c r="K83" s="8"/>
      <c r="L83" s="8"/>
      <c r="M83" s="8"/>
      <c r="N83" s="8"/>
      <c r="O83" s="8"/>
      <c r="P83" s="8"/>
      <c r="Q83" s="8"/>
      <c r="R83" s="8"/>
      <c r="S83" s="8"/>
      <c r="T83" s="8"/>
      <c r="U83" s="8"/>
      <c r="V83" s="8"/>
      <c r="W83" s="8"/>
      <c r="X83" s="8"/>
      <c r="Y83" s="8"/>
      <c r="Z83" s="8"/>
    </row>
    <row r="84">
      <c r="A84" s="2">
        <v>83.0</v>
      </c>
      <c r="B84" s="15" t="s">
        <v>270</v>
      </c>
      <c r="C84" s="4" t="s">
        <v>296</v>
      </c>
      <c r="D84" s="4" t="s">
        <v>297</v>
      </c>
      <c r="E84" s="4" t="s">
        <v>298</v>
      </c>
      <c r="F84" s="5" t="s">
        <v>299</v>
      </c>
      <c r="G84" s="6" t="s">
        <v>14</v>
      </c>
      <c r="H84" s="11" t="s">
        <v>86</v>
      </c>
      <c r="I84" s="4" t="s">
        <v>16</v>
      </c>
      <c r="J84" s="8"/>
      <c r="K84" s="8"/>
      <c r="L84" s="8"/>
      <c r="M84" s="8"/>
      <c r="N84" s="8"/>
      <c r="O84" s="8"/>
      <c r="P84" s="8"/>
      <c r="Q84" s="8"/>
      <c r="R84" s="8"/>
      <c r="S84" s="8"/>
      <c r="T84" s="8"/>
      <c r="U84" s="8"/>
      <c r="V84" s="8"/>
      <c r="W84" s="8"/>
      <c r="X84" s="8"/>
      <c r="Y84" s="8"/>
      <c r="Z84" s="8"/>
    </row>
    <row r="85">
      <c r="A85" s="2">
        <v>84.0</v>
      </c>
      <c r="B85" s="15" t="s">
        <v>270</v>
      </c>
      <c r="C85" s="4" t="s">
        <v>300</v>
      </c>
      <c r="D85" s="4" t="s">
        <v>301</v>
      </c>
      <c r="E85" s="4" t="s">
        <v>302</v>
      </c>
      <c r="F85" s="5" t="s">
        <v>303</v>
      </c>
      <c r="G85" s="6" t="s">
        <v>14</v>
      </c>
      <c r="H85" s="11" t="s">
        <v>86</v>
      </c>
      <c r="I85" s="4" t="s">
        <v>16</v>
      </c>
      <c r="J85" s="8"/>
      <c r="K85" s="8"/>
      <c r="L85" s="8"/>
      <c r="M85" s="8"/>
      <c r="N85" s="8"/>
      <c r="O85" s="8"/>
      <c r="P85" s="8"/>
      <c r="Q85" s="8"/>
      <c r="R85" s="8"/>
      <c r="S85" s="8"/>
      <c r="T85" s="8"/>
      <c r="U85" s="8"/>
      <c r="V85" s="8"/>
      <c r="W85" s="8"/>
      <c r="X85" s="8"/>
      <c r="Y85" s="8"/>
      <c r="Z85" s="8"/>
    </row>
    <row r="86">
      <c r="A86" s="2">
        <v>85.0</v>
      </c>
      <c r="B86" s="15" t="s">
        <v>270</v>
      </c>
      <c r="C86" s="4" t="s">
        <v>304</v>
      </c>
      <c r="D86" s="4" t="s">
        <v>305</v>
      </c>
      <c r="E86" s="4" t="s">
        <v>306</v>
      </c>
      <c r="F86" s="5" t="s">
        <v>307</v>
      </c>
      <c r="G86" s="6" t="s">
        <v>14</v>
      </c>
      <c r="H86" s="9" t="s">
        <v>31</v>
      </c>
      <c r="I86" s="4" t="s">
        <v>16</v>
      </c>
      <c r="J86" s="8"/>
      <c r="K86" s="8"/>
      <c r="L86" s="8"/>
      <c r="M86" s="8"/>
      <c r="N86" s="8"/>
      <c r="O86" s="8"/>
      <c r="P86" s="8"/>
      <c r="Q86" s="8"/>
      <c r="R86" s="8"/>
      <c r="S86" s="8"/>
      <c r="T86" s="8"/>
      <c r="U86" s="8"/>
      <c r="V86" s="8"/>
      <c r="W86" s="8"/>
      <c r="X86" s="8"/>
      <c r="Y86" s="8"/>
      <c r="Z86" s="8"/>
    </row>
    <row r="87">
      <c r="A87" s="2">
        <v>86.0</v>
      </c>
      <c r="B87" s="15" t="s">
        <v>270</v>
      </c>
      <c r="C87" s="4" t="s">
        <v>308</v>
      </c>
      <c r="D87" s="4" t="s">
        <v>309</v>
      </c>
      <c r="E87" s="4" t="s">
        <v>310</v>
      </c>
      <c r="F87" s="5" t="s">
        <v>55</v>
      </c>
      <c r="G87" s="6" t="s">
        <v>21</v>
      </c>
      <c r="H87" s="7" t="s">
        <v>15</v>
      </c>
      <c r="I87" s="4" t="s">
        <v>16</v>
      </c>
      <c r="J87" s="8"/>
      <c r="K87" s="8"/>
      <c r="L87" s="8"/>
      <c r="M87" s="8"/>
      <c r="N87" s="8"/>
      <c r="O87" s="8"/>
      <c r="P87" s="8"/>
      <c r="Q87" s="8"/>
      <c r="R87" s="8"/>
      <c r="S87" s="8"/>
      <c r="T87" s="8"/>
      <c r="U87" s="8"/>
      <c r="V87" s="8"/>
      <c r="W87" s="8"/>
      <c r="X87" s="8"/>
      <c r="Y87" s="8"/>
      <c r="Z87" s="8"/>
    </row>
    <row r="88">
      <c r="A88" s="2">
        <v>87.0</v>
      </c>
      <c r="B88" s="15" t="s">
        <v>270</v>
      </c>
      <c r="C88" s="4" t="s">
        <v>311</v>
      </c>
      <c r="D88" s="4" t="s">
        <v>312</v>
      </c>
      <c r="E88" s="4" t="s">
        <v>313</v>
      </c>
      <c r="F88" s="5" t="s">
        <v>314</v>
      </c>
      <c r="G88" s="6" t="s">
        <v>14</v>
      </c>
      <c r="H88" s="9" t="s">
        <v>31</v>
      </c>
      <c r="I88" s="4" t="s">
        <v>16</v>
      </c>
      <c r="J88" s="8"/>
      <c r="K88" s="8"/>
      <c r="L88" s="8"/>
      <c r="M88" s="8"/>
      <c r="N88" s="8"/>
      <c r="O88" s="8"/>
      <c r="P88" s="8"/>
      <c r="Q88" s="8"/>
      <c r="R88" s="8"/>
      <c r="S88" s="8"/>
      <c r="T88" s="8"/>
      <c r="U88" s="8"/>
      <c r="V88" s="8"/>
      <c r="W88" s="8"/>
      <c r="X88" s="8"/>
      <c r="Y88" s="8"/>
      <c r="Z88" s="8"/>
    </row>
    <row r="89">
      <c r="A89" s="2">
        <v>88.0</v>
      </c>
      <c r="B89" s="15" t="s">
        <v>270</v>
      </c>
      <c r="C89" s="4" t="s">
        <v>315</v>
      </c>
      <c r="D89" s="4" t="s">
        <v>316</v>
      </c>
      <c r="E89" s="4" t="s">
        <v>317</v>
      </c>
      <c r="F89" s="5" t="s">
        <v>55</v>
      </c>
      <c r="G89" s="6" t="s">
        <v>21</v>
      </c>
      <c r="H89" s="7" t="s">
        <v>15</v>
      </c>
      <c r="I89" s="4" t="s">
        <v>16</v>
      </c>
      <c r="J89" s="8"/>
      <c r="K89" s="8"/>
      <c r="L89" s="8"/>
      <c r="M89" s="8"/>
      <c r="N89" s="8"/>
      <c r="O89" s="8"/>
      <c r="P89" s="8"/>
      <c r="Q89" s="8"/>
      <c r="R89" s="8"/>
      <c r="S89" s="8"/>
      <c r="T89" s="8"/>
      <c r="U89" s="8"/>
      <c r="V89" s="8"/>
      <c r="W89" s="8"/>
      <c r="X89" s="8"/>
      <c r="Y89" s="8"/>
      <c r="Z89" s="8"/>
    </row>
    <row r="90">
      <c r="A90" s="2">
        <v>89.0</v>
      </c>
      <c r="B90" s="15" t="s">
        <v>270</v>
      </c>
      <c r="C90" s="4" t="s">
        <v>318</v>
      </c>
      <c r="D90" s="4" t="s">
        <v>319</v>
      </c>
      <c r="E90" s="4" t="s">
        <v>320</v>
      </c>
      <c r="F90" s="5" t="s">
        <v>55</v>
      </c>
      <c r="G90" s="6" t="s">
        <v>21</v>
      </c>
      <c r="H90" s="7" t="s">
        <v>15</v>
      </c>
      <c r="I90" s="4" t="s">
        <v>16</v>
      </c>
      <c r="J90" s="8"/>
      <c r="K90" s="8"/>
      <c r="L90" s="8"/>
      <c r="M90" s="8"/>
      <c r="N90" s="8"/>
      <c r="O90" s="8"/>
      <c r="P90" s="8"/>
      <c r="Q90" s="8"/>
      <c r="R90" s="8"/>
      <c r="S90" s="8"/>
      <c r="T90" s="8"/>
      <c r="U90" s="8"/>
      <c r="V90" s="8"/>
      <c r="W90" s="8"/>
      <c r="X90" s="8"/>
      <c r="Y90" s="8"/>
      <c r="Z90" s="8"/>
    </row>
    <row r="91">
      <c r="A91" s="2">
        <v>90.0</v>
      </c>
      <c r="B91" s="15" t="s">
        <v>270</v>
      </c>
      <c r="C91" s="4" t="s">
        <v>321</v>
      </c>
      <c r="D91" s="4" t="s">
        <v>322</v>
      </c>
      <c r="E91" s="4" t="s">
        <v>323</v>
      </c>
      <c r="F91" s="5" t="s">
        <v>55</v>
      </c>
      <c r="G91" s="6" t="s">
        <v>21</v>
      </c>
      <c r="H91" s="9" t="s">
        <v>31</v>
      </c>
      <c r="I91" s="4" t="s">
        <v>16</v>
      </c>
      <c r="J91" s="8"/>
      <c r="K91" s="8"/>
      <c r="L91" s="8"/>
      <c r="M91" s="8"/>
      <c r="N91" s="8"/>
      <c r="O91" s="8"/>
      <c r="P91" s="8"/>
      <c r="Q91" s="8"/>
      <c r="R91" s="8"/>
      <c r="S91" s="8"/>
      <c r="T91" s="8"/>
      <c r="U91" s="8"/>
      <c r="V91" s="8"/>
      <c r="W91" s="8"/>
      <c r="X91" s="8"/>
      <c r="Y91" s="8"/>
      <c r="Z91" s="8"/>
    </row>
    <row r="92">
      <c r="A92" s="2">
        <v>91.0</v>
      </c>
      <c r="B92" s="15" t="s">
        <v>270</v>
      </c>
      <c r="C92" s="4" t="s">
        <v>324</v>
      </c>
      <c r="D92" s="4" t="s">
        <v>325</v>
      </c>
      <c r="E92" s="4" t="s">
        <v>326</v>
      </c>
      <c r="F92" s="5" t="s">
        <v>55</v>
      </c>
      <c r="G92" s="6" t="s">
        <v>21</v>
      </c>
      <c r="H92" s="9" t="s">
        <v>31</v>
      </c>
      <c r="I92" s="4" t="s">
        <v>16</v>
      </c>
      <c r="J92" s="8"/>
      <c r="K92" s="8"/>
      <c r="L92" s="8"/>
      <c r="M92" s="8"/>
      <c r="N92" s="8"/>
      <c r="O92" s="8"/>
      <c r="P92" s="8"/>
      <c r="Q92" s="8"/>
      <c r="R92" s="8"/>
      <c r="S92" s="8"/>
      <c r="T92" s="8"/>
      <c r="U92" s="8"/>
      <c r="V92" s="8"/>
      <c r="W92" s="8"/>
      <c r="X92" s="8"/>
      <c r="Y92" s="8"/>
      <c r="Z92" s="8"/>
    </row>
    <row r="93">
      <c r="A93" s="2">
        <v>92.0</v>
      </c>
      <c r="B93" s="15" t="s">
        <v>270</v>
      </c>
      <c r="C93" s="4" t="s">
        <v>327</v>
      </c>
      <c r="D93" s="4" t="s">
        <v>328</v>
      </c>
      <c r="E93" s="4" t="s">
        <v>329</v>
      </c>
      <c r="F93" s="5" t="s">
        <v>55</v>
      </c>
      <c r="G93" s="6" t="s">
        <v>21</v>
      </c>
      <c r="H93" s="11" t="s">
        <v>86</v>
      </c>
      <c r="I93" s="4" t="s">
        <v>16</v>
      </c>
      <c r="J93" s="8"/>
      <c r="K93" s="8"/>
      <c r="L93" s="8"/>
      <c r="M93" s="8"/>
      <c r="N93" s="8"/>
      <c r="O93" s="8"/>
      <c r="P93" s="8"/>
      <c r="Q93" s="8"/>
      <c r="R93" s="8"/>
      <c r="S93" s="8"/>
      <c r="T93" s="8"/>
      <c r="U93" s="8"/>
      <c r="V93" s="8"/>
      <c r="W93" s="8"/>
      <c r="X93" s="8"/>
      <c r="Y93" s="8"/>
      <c r="Z93" s="8"/>
    </row>
    <row r="94">
      <c r="A94" s="2">
        <v>93.0</v>
      </c>
      <c r="B94" s="15" t="s">
        <v>270</v>
      </c>
      <c r="C94" s="4" t="s">
        <v>330</v>
      </c>
      <c r="D94" s="4" t="s">
        <v>331</v>
      </c>
      <c r="E94" s="4" t="s">
        <v>332</v>
      </c>
      <c r="F94" s="5" t="s">
        <v>55</v>
      </c>
      <c r="G94" s="6" t="s">
        <v>21</v>
      </c>
      <c r="H94" s="9" t="s">
        <v>31</v>
      </c>
      <c r="I94" s="4" t="s">
        <v>16</v>
      </c>
      <c r="J94" s="8"/>
      <c r="K94" s="8"/>
      <c r="L94" s="8"/>
      <c r="M94" s="8"/>
      <c r="N94" s="8"/>
      <c r="O94" s="8"/>
      <c r="P94" s="8"/>
      <c r="Q94" s="8"/>
      <c r="R94" s="8"/>
      <c r="S94" s="8"/>
      <c r="T94" s="8"/>
      <c r="U94" s="8"/>
      <c r="V94" s="8"/>
      <c r="W94" s="8"/>
      <c r="X94" s="8"/>
      <c r="Y94" s="8"/>
      <c r="Z94" s="8"/>
    </row>
    <row r="95">
      <c r="A95" s="2">
        <v>94.0</v>
      </c>
      <c r="B95" s="15" t="s">
        <v>270</v>
      </c>
      <c r="C95" s="4" t="s">
        <v>333</v>
      </c>
      <c r="D95" s="4" t="s">
        <v>334</v>
      </c>
      <c r="E95" s="4" t="s">
        <v>335</v>
      </c>
      <c r="F95" s="5" t="s">
        <v>55</v>
      </c>
      <c r="G95" s="6" t="s">
        <v>21</v>
      </c>
      <c r="H95" s="7" t="s">
        <v>15</v>
      </c>
      <c r="I95" s="4" t="s">
        <v>16</v>
      </c>
      <c r="J95" s="8"/>
      <c r="K95" s="8"/>
      <c r="L95" s="8"/>
      <c r="M95" s="8"/>
      <c r="N95" s="8"/>
      <c r="O95" s="8"/>
      <c r="P95" s="8"/>
      <c r="Q95" s="8"/>
      <c r="R95" s="8"/>
      <c r="S95" s="8"/>
      <c r="T95" s="8"/>
      <c r="U95" s="8"/>
      <c r="V95" s="8"/>
      <c r="W95" s="8"/>
      <c r="X95" s="8"/>
      <c r="Y95" s="8"/>
      <c r="Z95" s="8"/>
    </row>
    <row r="96">
      <c r="A96" s="2">
        <v>95.0</v>
      </c>
      <c r="B96" s="15" t="s">
        <v>270</v>
      </c>
      <c r="C96" s="4" t="s">
        <v>336</v>
      </c>
      <c r="D96" s="4" t="s">
        <v>337</v>
      </c>
      <c r="E96" s="4" t="s">
        <v>338</v>
      </c>
      <c r="F96" s="5" t="s">
        <v>339</v>
      </c>
      <c r="G96" s="6" t="s">
        <v>14</v>
      </c>
      <c r="H96" s="11" t="s">
        <v>86</v>
      </c>
      <c r="I96" s="4" t="s">
        <v>16</v>
      </c>
      <c r="J96" s="8"/>
      <c r="K96" s="8"/>
      <c r="L96" s="8"/>
      <c r="M96" s="8"/>
      <c r="N96" s="8"/>
      <c r="O96" s="8"/>
      <c r="P96" s="8"/>
      <c r="Q96" s="8"/>
      <c r="R96" s="8"/>
      <c r="S96" s="8"/>
      <c r="T96" s="8"/>
      <c r="U96" s="8"/>
      <c r="V96" s="8"/>
      <c r="W96" s="8"/>
      <c r="X96" s="8"/>
      <c r="Y96" s="8"/>
      <c r="Z96" s="8"/>
    </row>
    <row r="97">
      <c r="A97" s="2">
        <v>96.0</v>
      </c>
      <c r="B97" s="15" t="s">
        <v>270</v>
      </c>
      <c r="C97" s="4" t="s">
        <v>340</v>
      </c>
      <c r="D97" s="4" t="s">
        <v>341</v>
      </c>
      <c r="E97" s="4" t="s">
        <v>342</v>
      </c>
      <c r="F97" s="5" t="s">
        <v>343</v>
      </c>
      <c r="G97" s="6" t="s">
        <v>14</v>
      </c>
      <c r="H97" s="9" t="s">
        <v>31</v>
      </c>
      <c r="I97" s="4" t="s">
        <v>16</v>
      </c>
      <c r="J97" s="8"/>
      <c r="K97" s="8"/>
      <c r="L97" s="8"/>
      <c r="M97" s="8"/>
      <c r="N97" s="8"/>
      <c r="O97" s="8"/>
      <c r="P97" s="8"/>
      <c r="Q97" s="8"/>
      <c r="R97" s="8"/>
      <c r="S97" s="8"/>
      <c r="T97" s="8"/>
      <c r="U97" s="8"/>
      <c r="V97" s="8"/>
      <c r="W97" s="8"/>
      <c r="X97" s="8"/>
      <c r="Y97" s="8"/>
      <c r="Z97" s="8"/>
    </row>
    <row r="98">
      <c r="A98" s="2">
        <v>97.0</v>
      </c>
      <c r="B98" s="15" t="s">
        <v>270</v>
      </c>
      <c r="C98" s="4" t="s">
        <v>344</v>
      </c>
      <c r="D98" s="4" t="s">
        <v>345</v>
      </c>
      <c r="E98" s="4" t="s">
        <v>152</v>
      </c>
      <c r="F98" s="5" t="s">
        <v>346</v>
      </c>
      <c r="G98" s="6" t="s">
        <v>21</v>
      </c>
      <c r="H98" s="9" t="s">
        <v>31</v>
      </c>
      <c r="I98" s="4" t="s">
        <v>16</v>
      </c>
      <c r="J98" s="8"/>
      <c r="K98" s="8"/>
      <c r="L98" s="8"/>
      <c r="M98" s="8"/>
      <c r="N98" s="8"/>
      <c r="O98" s="8"/>
      <c r="P98" s="8"/>
      <c r="Q98" s="8"/>
      <c r="R98" s="8"/>
      <c r="S98" s="8"/>
      <c r="T98" s="8"/>
      <c r="U98" s="8"/>
      <c r="V98" s="8"/>
      <c r="W98" s="8"/>
      <c r="X98" s="8"/>
      <c r="Y98" s="8"/>
      <c r="Z98" s="8"/>
    </row>
    <row r="99">
      <c r="A99" s="2">
        <v>98.0</v>
      </c>
      <c r="B99" s="15" t="s">
        <v>270</v>
      </c>
      <c r="C99" s="4" t="s">
        <v>347</v>
      </c>
      <c r="D99" s="4" t="s">
        <v>348</v>
      </c>
      <c r="E99" s="4" t="s">
        <v>349</v>
      </c>
      <c r="F99" s="5" t="s">
        <v>350</v>
      </c>
      <c r="G99" s="6" t="s">
        <v>14</v>
      </c>
      <c r="H99" s="7" t="s">
        <v>15</v>
      </c>
      <c r="I99" s="4" t="s">
        <v>16</v>
      </c>
      <c r="J99" s="8"/>
      <c r="K99" s="8"/>
      <c r="L99" s="8"/>
      <c r="M99" s="8"/>
      <c r="N99" s="8"/>
      <c r="O99" s="8"/>
      <c r="P99" s="8"/>
      <c r="Q99" s="8"/>
      <c r="R99" s="8"/>
      <c r="S99" s="8"/>
      <c r="T99" s="8"/>
      <c r="U99" s="8"/>
      <c r="V99" s="8"/>
      <c r="W99" s="8"/>
      <c r="X99" s="8"/>
      <c r="Y99" s="8"/>
      <c r="Z99" s="8"/>
    </row>
    <row r="100">
      <c r="A100" s="2">
        <v>99.0</v>
      </c>
      <c r="B100" s="15" t="s">
        <v>270</v>
      </c>
      <c r="C100" s="4" t="s">
        <v>351</v>
      </c>
      <c r="D100" s="4" t="s">
        <v>352</v>
      </c>
      <c r="E100" s="4" t="s">
        <v>353</v>
      </c>
      <c r="F100" s="5" t="s">
        <v>354</v>
      </c>
      <c r="G100" s="6" t="s">
        <v>14</v>
      </c>
      <c r="H100" s="9" t="s">
        <v>31</v>
      </c>
      <c r="I100" s="4" t="s">
        <v>16</v>
      </c>
      <c r="J100" s="8"/>
      <c r="K100" s="8"/>
      <c r="L100" s="8"/>
      <c r="M100" s="8"/>
      <c r="N100" s="8"/>
      <c r="O100" s="8"/>
      <c r="P100" s="8"/>
      <c r="Q100" s="8"/>
      <c r="R100" s="8"/>
      <c r="S100" s="8"/>
      <c r="T100" s="8"/>
      <c r="U100" s="8"/>
      <c r="V100" s="8"/>
      <c r="W100" s="8"/>
      <c r="X100" s="8"/>
      <c r="Y100" s="8"/>
      <c r="Z100" s="8"/>
    </row>
    <row r="101">
      <c r="A101" s="2">
        <v>100.0</v>
      </c>
      <c r="B101" s="15" t="s">
        <v>270</v>
      </c>
      <c r="C101" s="4" t="s">
        <v>355</v>
      </c>
      <c r="D101" s="4" t="s">
        <v>356</v>
      </c>
      <c r="E101" s="4" t="s">
        <v>357</v>
      </c>
      <c r="F101" s="5" t="s">
        <v>358</v>
      </c>
      <c r="G101" s="6" t="s">
        <v>14</v>
      </c>
      <c r="H101" s="7" t="s">
        <v>15</v>
      </c>
      <c r="I101" s="4" t="s">
        <v>16</v>
      </c>
      <c r="J101" s="8"/>
      <c r="K101" s="8"/>
      <c r="L101" s="8"/>
      <c r="M101" s="8"/>
      <c r="N101" s="8"/>
      <c r="O101" s="8"/>
      <c r="P101" s="8"/>
      <c r="Q101" s="8"/>
      <c r="R101" s="8"/>
      <c r="S101" s="8"/>
      <c r="T101" s="8"/>
      <c r="U101" s="8"/>
      <c r="V101" s="8"/>
      <c r="W101" s="8"/>
      <c r="X101" s="8"/>
      <c r="Y101" s="8"/>
      <c r="Z101" s="8"/>
    </row>
    <row r="102">
      <c r="A102" s="2">
        <v>101.0</v>
      </c>
      <c r="B102" s="15" t="s">
        <v>270</v>
      </c>
      <c r="C102" s="4" t="s">
        <v>359</v>
      </c>
      <c r="D102" s="4" t="s">
        <v>360</v>
      </c>
      <c r="E102" s="4" t="s">
        <v>361</v>
      </c>
      <c r="F102" s="5" t="s">
        <v>55</v>
      </c>
      <c r="G102" s="6" t="s">
        <v>21</v>
      </c>
      <c r="H102" s="9" t="s">
        <v>31</v>
      </c>
      <c r="I102" s="4" t="s">
        <v>16</v>
      </c>
      <c r="J102" s="8"/>
      <c r="K102" s="8"/>
      <c r="L102" s="8"/>
      <c r="M102" s="8"/>
      <c r="N102" s="8"/>
      <c r="O102" s="8"/>
      <c r="P102" s="8"/>
      <c r="Q102" s="8"/>
      <c r="R102" s="8"/>
      <c r="S102" s="8"/>
      <c r="T102" s="8"/>
      <c r="U102" s="8"/>
      <c r="V102" s="8"/>
      <c r="W102" s="8"/>
      <c r="X102" s="8"/>
      <c r="Y102" s="8"/>
      <c r="Z102" s="8"/>
    </row>
    <row r="103">
      <c r="A103" s="2">
        <v>102.0</v>
      </c>
      <c r="B103" s="16" t="s">
        <v>362</v>
      </c>
      <c r="C103" s="4" t="s">
        <v>363</v>
      </c>
      <c r="D103" s="4" t="s">
        <v>364</v>
      </c>
      <c r="E103" s="4" t="s">
        <v>365</v>
      </c>
      <c r="F103" s="5" t="s">
        <v>366</v>
      </c>
      <c r="G103" s="6" t="s">
        <v>21</v>
      </c>
      <c r="H103" s="9" t="s">
        <v>31</v>
      </c>
      <c r="I103" s="4" t="s">
        <v>16</v>
      </c>
      <c r="J103" s="8"/>
      <c r="K103" s="8"/>
      <c r="L103" s="8"/>
      <c r="M103" s="8"/>
      <c r="N103" s="8"/>
      <c r="O103" s="8"/>
      <c r="P103" s="8"/>
      <c r="Q103" s="8"/>
      <c r="R103" s="8"/>
      <c r="S103" s="8"/>
      <c r="T103" s="8"/>
      <c r="U103" s="8"/>
      <c r="V103" s="8"/>
      <c r="W103" s="8"/>
      <c r="X103" s="8"/>
      <c r="Y103" s="8"/>
      <c r="Z103" s="8"/>
    </row>
    <row r="104">
      <c r="A104" s="2">
        <v>103.0</v>
      </c>
      <c r="B104" s="16" t="s">
        <v>362</v>
      </c>
      <c r="C104" s="4" t="s">
        <v>367</v>
      </c>
      <c r="D104" s="4" t="s">
        <v>368</v>
      </c>
      <c r="E104" s="4" t="s">
        <v>369</v>
      </c>
      <c r="F104" s="5" t="s">
        <v>370</v>
      </c>
      <c r="G104" s="6" t="s">
        <v>21</v>
      </c>
      <c r="H104" s="9" t="s">
        <v>31</v>
      </c>
      <c r="I104" s="4" t="s">
        <v>16</v>
      </c>
      <c r="J104" s="8"/>
      <c r="K104" s="8"/>
      <c r="L104" s="8"/>
      <c r="M104" s="8"/>
      <c r="N104" s="8"/>
      <c r="O104" s="8"/>
      <c r="P104" s="8"/>
      <c r="Q104" s="8"/>
      <c r="R104" s="8"/>
      <c r="S104" s="8"/>
      <c r="T104" s="8"/>
      <c r="U104" s="8"/>
      <c r="V104" s="8"/>
      <c r="W104" s="8"/>
      <c r="X104" s="8"/>
      <c r="Y104" s="8"/>
      <c r="Z104" s="8"/>
    </row>
    <row r="105">
      <c r="A105" s="2">
        <v>104.0</v>
      </c>
      <c r="B105" s="16" t="s">
        <v>362</v>
      </c>
      <c r="C105" s="4" t="s">
        <v>371</v>
      </c>
      <c r="D105" s="4" t="s">
        <v>372</v>
      </c>
      <c r="E105" s="4" t="s">
        <v>373</v>
      </c>
      <c r="F105" s="5" t="s">
        <v>374</v>
      </c>
      <c r="G105" s="6" t="s">
        <v>21</v>
      </c>
      <c r="H105" s="9" t="s">
        <v>31</v>
      </c>
      <c r="I105" s="4" t="s">
        <v>16</v>
      </c>
      <c r="J105" s="8"/>
      <c r="K105" s="8"/>
      <c r="L105" s="8"/>
      <c r="M105" s="8"/>
      <c r="N105" s="8"/>
      <c r="O105" s="8"/>
      <c r="P105" s="8"/>
      <c r="Q105" s="8"/>
      <c r="R105" s="8"/>
      <c r="S105" s="8"/>
      <c r="T105" s="8"/>
      <c r="U105" s="8"/>
      <c r="V105" s="8"/>
      <c r="W105" s="8"/>
      <c r="X105" s="8"/>
      <c r="Y105" s="8"/>
      <c r="Z105" s="8"/>
    </row>
    <row r="106">
      <c r="A106" s="2">
        <v>105.0</v>
      </c>
      <c r="B106" s="16" t="s">
        <v>362</v>
      </c>
      <c r="C106" s="4" t="s">
        <v>375</v>
      </c>
      <c r="D106" s="4" t="s">
        <v>376</v>
      </c>
      <c r="E106" s="4" t="s">
        <v>377</v>
      </c>
      <c r="F106" s="12" t="s">
        <v>378</v>
      </c>
      <c r="G106" s="6" t="s">
        <v>21</v>
      </c>
      <c r="H106" s="11" t="s">
        <v>86</v>
      </c>
      <c r="I106" s="4" t="s">
        <v>16</v>
      </c>
      <c r="J106" s="8"/>
      <c r="K106" s="8"/>
      <c r="L106" s="8"/>
      <c r="M106" s="8"/>
      <c r="N106" s="8"/>
      <c r="O106" s="8"/>
      <c r="P106" s="8"/>
      <c r="Q106" s="8"/>
      <c r="R106" s="8"/>
      <c r="S106" s="8"/>
      <c r="T106" s="8"/>
      <c r="U106" s="8"/>
      <c r="V106" s="8"/>
      <c r="W106" s="8"/>
      <c r="X106" s="8"/>
      <c r="Y106" s="8"/>
      <c r="Z106" s="8"/>
    </row>
    <row r="107">
      <c r="A107" s="2">
        <v>106.0</v>
      </c>
      <c r="B107" s="16" t="s">
        <v>362</v>
      </c>
      <c r="C107" s="4" t="s">
        <v>379</v>
      </c>
      <c r="D107" s="4" t="s">
        <v>380</v>
      </c>
      <c r="E107" s="4" t="s">
        <v>381</v>
      </c>
      <c r="F107" s="5" t="s">
        <v>382</v>
      </c>
      <c r="G107" s="6" t="s">
        <v>21</v>
      </c>
      <c r="H107" s="9" t="s">
        <v>31</v>
      </c>
      <c r="I107" s="4" t="s">
        <v>16</v>
      </c>
      <c r="J107" s="8"/>
      <c r="K107" s="8"/>
      <c r="L107" s="8"/>
      <c r="M107" s="8"/>
      <c r="N107" s="8"/>
      <c r="O107" s="8"/>
      <c r="P107" s="8"/>
      <c r="Q107" s="8"/>
      <c r="R107" s="8"/>
      <c r="S107" s="8"/>
      <c r="T107" s="8"/>
      <c r="U107" s="8"/>
      <c r="V107" s="8"/>
      <c r="W107" s="8"/>
      <c r="X107" s="8"/>
      <c r="Y107" s="8"/>
      <c r="Z107" s="8"/>
    </row>
    <row r="108">
      <c r="A108" s="2">
        <v>107.0</v>
      </c>
      <c r="B108" s="16" t="s">
        <v>362</v>
      </c>
      <c r="C108" s="4" t="s">
        <v>383</v>
      </c>
      <c r="D108" s="4" t="s">
        <v>384</v>
      </c>
      <c r="E108" s="4" t="s">
        <v>385</v>
      </c>
      <c r="F108" s="5" t="s">
        <v>386</v>
      </c>
      <c r="G108" s="6" t="s">
        <v>14</v>
      </c>
      <c r="H108" s="11" t="s">
        <v>86</v>
      </c>
      <c r="I108" s="4" t="s">
        <v>16</v>
      </c>
      <c r="J108" s="8"/>
      <c r="K108" s="8"/>
      <c r="L108" s="8"/>
      <c r="M108" s="8"/>
      <c r="N108" s="8"/>
      <c r="O108" s="8"/>
      <c r="P108" s="8"/>
      <c r="Q108" s="8"/>
      <c r="R108" s="8"/>
      <c r="S108" s="8"/>
      <c r="T108" s="8"/>
      <c r="U108" s="8"/>
      <c r="V108" s="8"/>
      <c r="W108" s="8"/>
      <c r="X108" s="8"/>
      <c r="Y108" s="8"/>
      <c r="Z108" s="8"/>
    </row>
    <row r="109">
      <c r="A109" s="2">
        <v>108.0</v>
      </c>
      <c r="B109" s="16" t="s">
        <v>362</v>
      </c>
      <c r="C109" s="4" t="s">
        <v>387</v>
      </c>
      <c r="D109" s="4" t="s">
        <v>388</v>
      </c>
      <c r="E109" s="4" t="s">
        <v>389</v>
      </c>
      <c r="F109" s="5" t="s">
        <v>390</v>
      </c>
      <c r="G109" s="6" t="s">
        <v>14</v>
      </c>
      <c r="H109" s="11" t="s">
        <v>86</v>
      </c>
      <c r="I109" s="4" t="s">
        <v>16</v>
      </c>
      <c r="J109" s="8"/>
      <c r="K109" s="8"/>
      <c r="L109" s="8"/>
      <c r="M109" s="8"/>
      <c r="N109" s="8"/>
      <c r="O109" s="8"/>
      <c r="P109" s="8"/>
      <c r="Q109" s="8"/>
      <c r="R109" s="8"/>
      <c r="S109" s="8"/>
      <c r="T109" s="8"/>
      <c r="U109" s="8"/>
      <c r="V109" s="8"/>
      <c r="W109" s="8"/>
      <c r="X109" s="8"/>
      <c r="Y109" s="8"/>
      <c r="Z109" s="8"/>
    </row>
    <row r="110">
      <c r="A110" s="2">
        <v>109.0</v>
      </c>
      <c r="B110" s="16" t="s">
        <v>362</v>
      </c>
      <c r="C110" s="4" t="s">
        <v>391</v>
      </c>
      <c r="D110" s="4" t="s">
        <v>392</v>
      </c>
      <c r="E110" s="4" t="s">
        <v>393</v>
      </c>
      <c r="F110" s="5" t="s">
        <v>394</v>
      </c>
      <c r="G110" s="6" t="s">
        <v>14</v>
      </c>
      <c r="H110" s="11" t="s">
        <v>86</v>
      </c>
      <c r="I110" s="4" t="s">
        <v>16</v>
      </c>
      <c r="J110" s="8"/>
      <c r="K110" s="8"/>
      <c r="L110" s="8"/>
      <c r="M110" s="8"/>
      <c r="N110" s="8"/>
      <c r="O110" s="8"/>
      <c r="P110" s="8"/>
      <c r="Q110" s="8"/>
      <c r="R110" s="8"/>
      <c r="S110" s="8"/>
      <c r="T110" s="8"/>
      <c r="U110" s="8"/>
      <c r="V110" s="8"/>
      <c r="W110" s="8"/>
      <c r="X110" s="8"/>
      <c r="Y110" s="8"/>
      <c r="Z110" s="8"/>
    </row>
    <row r="111">
      <c r="A111" s="2">
        <v>110.0</v>
      </c>
      <c r="B111" s="16" t="s">
        <v>362</v>
      </c>
      <c r="C111" s="4" t="s">
        <v>395</v>
      </c>
      <c r="D111" s="4" t="s">
        <v>396</v>
      </c>
      <c r="E111" s="4" t="s">
        <v>397</v>
      </c>
      <c r="F111" s="5" t="s">
        <v>398</v>
      </c>
      <c r="G111" s="6" t="s">
        <v>14</v>
      </c>
      <c r="H111" s="11" t="s">
        <v>86</v>
      </c>
      <c r="I111" s="4" t="s">
        <v>16</v>
      </c>
      <c r="J111" s="8"/>
      <c r="K111" s="8"/>
      <c r="L111" s="8"/>
      <c r="M111" s="8"/>
      <c r="N111" s="8"/>
      <c r="O111" s="8"/>
      <c r="P111" s="8"/>
      <c r="Q111" s="8"/>
      <c r="R111" s="8"/>
      <c r="S111" s="8"/>
      <c r="T111" s="8"/>
      <c r="U111" s="8"/>
      <c r="V111" s="8"/>
      <c r="W111" s="8"/>
      <c r="X111" s="8"/>
      <c r="Y111" s="8"/>
      <c r="Z111" s="8"/>
    </row>
    <row r="112">
      <c r="A112" s="2">
        <v>111.0</v>
      </c>
      <c r="B112" s="16" t="s">
        <v>362</v>
      </c>
      <c r="C112" s="4" t="s">
        <v>399</v>
      </c>
      <c r="D112" s="4" t="s">
        <v>400</v>
      </c>
      <c r="E112" s="4" t="s">
        <v>401</v>
      </c>
      <c r="F112" s="5" t="s">
        <v>402</v>
      </c>
      <c r="G112" s="6" t="s">
        <v>21</v>
      </c>
      <c r="H112" s="9" t="s">
        <v>31</v>
      </c>
      <c r="I112" s="4" t="s">
        <v>16</v>
      </c>
      <c r="J112" s="8"/>
      <c r="K112" s="8"/>
      <c r="L112" s="8"/>
      <c r="M112" s="8"/>
      <c r="N112" s="8"/>
      <c r="O112" s="8"/>
      <c r="P112" s="8"/>
      <c r="Q112" s="8"/>
      <c r="R112" s="8"/>
      <c r="S112" s="8"/>
      <c r="T112" s="8"/>
      <c r="U112" s="8"/>
      <c r="V112" s="8"/>
      <c r="W112" s="8"/>
      <c r="X112" s="8"/>
      <c r="Y112" s="8"/>
      <c r="Z112" s="8"/>
    </row>
    <row r="113">
      <c r="A113" s="2">
        <v>112.0</v>
      </c>
      <c r="B113" s="16" t="s">
        <v>362</v>
      </c>
      <c r="C113" s="4" t="s">
        <v>403</v>
      </c>
      <c r="D113" s="4" t="s">
        <v>404</v>
      </c>
      <c r="E113" s="4" t="s">
        <v>405</v>
      </c>
      <c r="F113" s="5" t="s">
        <v>55</v>
      </c>
      <c r="G113" s="6" t="s">
        <v>21</v>
      </c>
      <c r="H113" s="9" t="s">
        <v>31</v>
      </c>
      <c r="I113" s="4" t="s">
        <v>16</v>
      </c>
      <c r="J113" s="8"/>
      <c r="K113" s="8"/>
      <c r="L113" s="8"/>
      <c r="M113" s="8"/>
      <c r="N113" s="8"/>
      <c r="O113" s="8"/>
      <c r="P113" s="8"/>
      <c r="Q113" s="8"/>
      <c r="R113" s="8"/>
      <c r="S113" s="8"/>
      <c r="T113" s="8"/>
      <c r="U113" s="8"/>
      <c r="V113" s="8"/>
      <c r="W113" s="8"/>
      <c r="X113" s="8"/>
      <c r="Y113" s="8"/>
      <c r="Z113" s="8"/>
    </row>
    <row r="114">
      <c r="A114" s="2">
        <v>113.0</v>
      </c>
      <c r="B114" s="16" t="s">
        <v>362</v>
      </c>
      <c r="C114" s="4" t="s">
        <v>406</v>
      </c>
      <c r="D114" s="4" t="s">
        <v>407</v>
      </c>
      <c r="E114" s="4" t="s">
        <v>408</v>
      </c>
      <c r="F114" s="5" t="s">
        <v>55</v>
      </c>
      <c r="G114" s="6" t="s">
        <v>21</v>
      </c>
      <c r="H114" s="11" t="s">
        <v>86</v>
      </c>
      <c r="I114" s="4" t="s">
        <v>16</v>
      </c>
      <c r="J114" s="8"/>
      <c r="K114" s="8"/>
      <c r="L114" s="8"/>
      <c r="M114" s="8"/>
      <c r="N114" s="8"/>
      <c r="O114" s="8"/>
      <c r="P114" s="8"/>
      <c r="Q114" s="8"/>
      <c r="R114" s="8"/>
      <c r="S114" s="8"/>
      <c r="T114" s="8"/>
      <c r="U114" s="8"/>
      <c r="V114" s="8"/>
      <c r="W114" s="8"/>
      <c r="X114" s="8"/>
      <c r="Y114" s="8"/>
      <c r="Z114" s="8"/>
    </row>
    <row r="115">
      <c r="A115" s="2">
        <v>114.0</v>
      </c>
      <c r="B115" s="16" t="s">
        <v>362</v>
      </c>
      <c r="C115" s="4" t="s">
        <v>409</v>
      </c>
      <c r="D115" s="4" t="s">
        <v>410</v>
      </c>
      <c r="E115" s="4" t="s">
        <v>411</v>
      </c>
      <c r="F115" s="5" t="s">
        <v>55</v>
      </c>
      <c r="G115" s="6" t="s">
        <v>21</v>
      </c>
      <c r="H115" s="9" t="s">
        <v>31</v>
      </c>
      <c r="I115" s="4" t="s">
        <v>16</v>
      </c>
      <c r="J115" s="8"/>
      <c r="K115" s="8"/>
      <c r="L115" s="8"/>
      <c r="M115" s="8"/>
      <c r="N115" s="8"/>
      <c r="O115" s="8"/>
      <c r="P115" s="8"/>
      <c r="Q115" s="8"/>
      <c r="R115" s="8"/>
      <c r="S115" s="8"/>
      <c r="T115" s="8"/>
      <c r="U115" s="8"/>
      <c r="V115" s="8"/>
      <c r="W115" s="8"/>
      <c r="X115" s="8"/>
      <c r="Y115" s="8"/>
      <c r="Z115" s="8"/>
    </row>
  </sheetData>
  <autoFilter ref="$A$1:$I$1"/>
  <conditionalFormatting sqref="G2:G115">
    <cfRule type="containsText" dxfId="0" priority="1" operator="containsText" text="">
      <formula>NOT(ISERROR(SEARCH((""),(G2))))</formula>
    </cfRule>
  </conditionalFormatting>
  <conditionalFormatting sqref="G2:G115">
    <cfRule type="containsText" dxfId="1" priority="2" operator="containsText" text="">
      <formula>NOT(ISERROR(SEARCH((""),(G2))))</formula>
    </cfRule>
  </conditionalFormatting>
  <conditionalFormatting sqref="G2:G115">
    <cfRule type="containsText" dxfId="2" priority="3" operator="containsText" text="">
      <formula>NOT(ISERROR(SEARCH((""),(G2))))</formula>
    </cfRule>
  </conditionalFormatting>
  <conditionalFormatting sqref="G2:G115">
    <cfRule type="containsText" dxfId="3" priority="4" operator="containsText" text="">
      <formula>NOT(ISERROR(SEARCH((""),(G2))))</formula>
    </cfRule>
  </conditionalFormatting>
  <dataValidations>
    <dataValidation type="list" allowBlank="1" showInputMessage="1" showErrorMessage="1" prompt="Estado inválido - Use solo: PASA, FALLA, BLOQUEADO o PENDIENTE" sqref="G2:G115">
      <formula1>"PASA,FALLA,BLOQUEADO,PENDIENTE"</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9669"/>
    <pageSetUpPr/>
  </sheetPr>
  <sheetViews>
    <sheetView workbookViewId="0"/>
  </sheetViews>
  <sheetFormatPr customHeight="1" defaultColWidth="14.43" defaultRowHeight="15.0"/>
  <cols>
    <col customWidth="1" min="1" max="1" width="35.0"/>
    <col customWidth="1" min="2" max="4" width="12.0"/>
    <col customWidth="1" min="5" max="6" width="14.0"/>
    <col customWidth="1" min="7" max="7" width="12.0"/>
    <col customWidth="1" min="8" max="26" width="8.71"/>
  </cols>
  <sheetData>
    <row r="1" ht="27.75" customHeight="1">
      <c r="A1" s="17" t="s">
        <v>1</v>
      </c>
      <c r="B1" s="17" t="s">
        <v>412</v>
      </c>
      <c r="C1" s="17" t="s">
        <v>413</v>
      </c>
      <c r="D1" s="17" t="s">
        <v>414</v>
      </c>
      <c r="E1" s="17" t="s">
        <v>415</v>
      </c>
      <c r="F1" s="17" t="s">
        <v>416</v>
      </c>
      <c r="G1" s="17" t="s">
        <v>417</v>
      </c>
    </row>
    <row r="2" ht="21.75" customHeight="1">
      <c r="A2" s="18" t="s">
        <v>418</v>
      </c>
      <c r="B2" s="19">
        <f>COUNTIF(Pruebas!B:B,"1")</f>
        <v>16</v>
      </c>
      <c r="C2" s="19">
        <f>COUNTIFS(Pruebas!B:B,"1",Pruebas!G:G,"PASA")</f>
        <v>15</v>
      </c>
      <c r="D2" s="19">
        <f>COUNTIFS(Pruebas!B:B,"1",Pruebas!G:G,"FALLA")</f>
        <v>1</v>
      </c>
      <c r="E2" s="19">
        <f>COUNTIFS(Pruebas!B:B,"1",Pruebas!G:G,"BLOQUEADO")</f>
        <v>0</v>
      </c>
      <c r="F2" s="19">
        <f>COUNTIFS(Pruebas!B:B,"1",Pruebas!G:G,"PENDIENTE")+COUNTIFS(Pruebas!B:B,"1",Pruebas!G:G,"")</f>
        <v>0</v>
      </c>
      <c r="G2" s="20">
        <f>IFERROR((COUNTIFS(Pruebas!B:B,"1",Pruebas!G:G,"PASA")+COUNTIFS(Pruebas!B:B,"1",Pruebas!G:G,"FALLA")+COUNTIFS(Pruebas!B:B,"1",Pruebas!G:G,"BLOQUEADO"))/COUNTIF(Pruebas!B:B,"1"),0)</f>
        <v>1</v>
      </c>
      <c r="H2" s="19"/>
      <c r="I2" s="19"/>
      <c r="J2" s="19"/>
      <c r="K2" s="19"/>
      <c r="L2" s="19"/>
      <c r="M2" s="19"/>
      <c r="N2" s="19"/>
      <c r="O2" s="19"/>
      <c r="P2" s="19"/>
      <c r="Q2" s="19"/>
      <c r="R2" s="19"/>
      <c r="S2" s="19"/>
      <c r="T2" s="19"/>
      <c r="U2" s="19"/>
      <c r="V2" s="19"/>
      <c r="W2" s="19"/>
      <c r="X2" s="19"/>
      <c r="Y2" s="19"/>
      <c r="Z2" s="19"/>
    </row>
    <row r="3" ht="21.75" customHeight="1">
      <c r="A3" s="18" t="s">
        <v>419</v>
      </c>
      <c r="B3" s="19">
        <f>COUNTIF(Pruebas!B:B,"2")</f>
        <v>31</v>
      </c>
      <c r="C3" s="19">
        <f>COUNTIFS(Pruebas!B:B,"2",Pruebas!G:G,"PASA")</f>
        <v>27</v>
      </c>
      <c r="D3" s="19">
        <f>COUNTIFS(Pruebas!B:B,"2",Pruebas!G:G,"FALLA")</f>
        <v>4</v>
      </c>
      <c r="E3" s="19">
        <f>COUNTIFS(Pruebas!B:B,"2",Pruebas!G:G,"BLOQUEADO")</f>
        <v>0</v>
      </c>
      <c r="F3" s="19">
        <f>COUNTIFS(Pruebas!B:B,"2",Pruebas!G:G,"PENDIENTE")+COUNTIFS(Pruebas!B:B,"2",Pruebas!G:G,"")</f>
        <v>0</v>
      </c>
      <c r="G3" s="20">
        <f>IFERROR((COUNTIFS(Pruebas!B:B,"2",Pruebas!G:G,"PASA")+COUNTIFS(Pruebas!B:B,"2",Pruebas!G:G,"FALLA")+COUNTIFS(Pruebas!B:B,"2",Pruebas!G:G,"BLOQUEADO"))/COUNTIF(Pruebas!B:B,"2"),0)</f>
        <v>1</v>
      </c>
      <c r="H3" s="19"/>
      <c r="I3" s="19"/>
      <c r="J3" s="19"/>
      <c r="K3" s="19"/>
      <c r="L3" s="19"/>
      <c r="M3" s="19"/>
      <c r="N3" s="19"/>
      <c r="O3" s="19"/>
      <c r="P3" s="19"/>
      <c r="Q3" s="19"/>
      <c r="R3" s="19"/>
      <c r="S3" s="19"/>
      <c r="T3" s="19"/>
      <c r="U3" s="19"/>
      <c r="V3" s="19"/>
      <c r="W3" s="19"/>
      <c r="X3" s="19"/>
      <c r="Y3" s="19"/>
      <c r="Z3" s="19"/>
    </row>
    <row r="4" ht="21.75" customHeight="1">
      <c r="A4" s="18" t="s">
        <v>420</v>
      </c>
      <c r="B4" s="19">
        <f>COUNTIF(Pruebas!B:B,"3")</f>
        <v>15</v>
      </c>
      <c r="C4" s="19">
        <f>COUNTIFS(Pruebas!B:B,"3",Pruebas!G:G,"PASA")</f>
        <v>9</v>
      </c>
      <c r="D4" s="19">
        <f>COUNTIFS(Pruebas!B:B,"3",Pruebas!G:G,"FALLA")</f>
        <v>6</v>
      </c>
      <c r="E4" s="19">
        <f>COUNTIFS(Pruebas!B:B,"3",Pruebas!G:G,"BLOQUEADO")</f>
        <v>0</v>
      </c>
      <c r="F4" s="19">
        <f>COUNTIFS(Pruebas!B:B,"3",Pruebas!G:G,"PENDIENTE")+COUNTIFS(Pruebas!B:B,"3",Pruebas!G:G,"")</f>
        <v>0</v>
      </c>
      <c r="G4" s="20">
        <f>IFERROR((COUNTIFS(Pruebas!B:B,"3",Pruebas!G:G,"PASA")+COUNTIFS(Pruebas!B:B,"3",Pruebas!G:G,"FALLA")+COUNTIFS(Pruebas!B:B,"3",Pruebas!G:G,"BLOQUEADO"))/COUNTIF(Pruebas!B:B,"3"),0)</f>
        <v>1</v>
      </c>
      <c r="H4" s="19"/>
      <c r="I4" s="19"/>
      <c r="J4" s="19"/>
      <c r="K4" s="19"/>
      <c r="L4" s="19"/>
      <c r="M4" s="19"/>
      <c r="N4" s="19"/>
      <c r="O4" s="19"/>
      <c r="P4" s="19"/>
      <c r="Q4" s="19"/>
      <c r="R4" s="19"/>
      <c r="S4" s="19"/>
      <c r="T4" s="19"/>
      <c r="U4" s="19"/>
      <c r="V4" s="19"/>
      <c r="W4" s="19"/>
      <c r="X4" s="19"/>
      <c r="Y4" s="19"/>
      <c r="Z4" s="19"/>
    </row>
    <row r="5" ht="21.75" customHeight="1">
      <c r="A5" s="18" t="s">
        <v>421</v>
      </c>
      <c r="B5" s="19">
        <f>COUNTIF(Pruebas!B:B,"4")</f>
        <v>12</v>
      </c>
      <c r="C5" s="19">
        <f>COUNTIFS(Pruebas!B:B,"4",Pruebas!G:G,"PASA")</f>
        <v>11</v>
      </c>
      <c r="D5" s="19">
        <f>COUNTIFS(Pruebas!B:B,"4",Pruebas!G:G,"FALLA")</f>
        <v>1</v>
      </c>
      <c r="E5" s="19">
        <f>COUNTIFS(Pruebas!B:B,"4",Pruebas!G:G,"BLOQUEADO")</f>
        <v>0</v>
      </c>
      <c r="F5" s="19">
        <f>COUNTIFS(Pruebas!B:B,"4",Pruebas!G:G,"PENDIENTE")+COUNTIFS(Pruebas!B:B,"4",Pruebas!G:G,"")</f>
        <v>0</v>
      </c>
      <c r="G5" s="20">
        <f>IFERROR((COUNTIFS(Pruebas!B:B,"4",Pruebas!G:G,"PASA")+COUNTIFS(Pruebas!B:B,"4",Pruebas!G:G,"FALLA")+COUNTIFS(Pruebas!B:B,"4",Pruebas!G:G,"BLOQUEADO"))/COUNTIF(Pruebas!B:B,"4"),0)</f>
        <v>1</v>
      </c>
      <c r="H5" s="19"/>
      <c r="I5" s="19"/>
      <c r="J5" s="19"/>
      <c r="K5" s="19"/>
      <c r="L5" s="19"/>
      <c r="M5" s="19"/>
      <c r="N5" s="19"/>
      <c r="O5" s="19"/>
      <c r="P5" s="19"/>
      <c r="Q5" s="19"/>
      <c r="R5" s="19"/>
      <c r="S5" s="19"/>
      <c r="T5" s="19"/>
      <c r="U5" s="19"/>
      <c r="V5" s="19"/>
      <c r="W5" s="19"/>
      <c r="X5" s="19"/>
      <c r="Y5" s="19"/>
      <c r="Z5" s="19"/>
    </row>
    <row r="6" ht="21.75" customHeight="1">
      <c r="A6" s="18" t="s">
        <v>422</v>
      </c>
      <c r="B6" s="19">
        <f>COUNTIF(Pruebas!B:B,"5")</f>
        <v>27</v>
      </c>
      <c r="C6" s="19">
        <f>COUNTIFS(Pruebas!B:B,"5",Pruebas!G:G,"PASA")</f>
        <v>17</v>
      </c>
      <c r="D6" s="19">
        <f>COUNTIFS(Pruebas!B:B,"5",Pruebas!G:G,"FALLA")</f>
        <v>10</v>
      </c>
      <c r="E6" s="19">
        <f>COUNTIFS(Pruebas!B:B,"5",Pruebas!G:G,"BLOQUEADO")</f>
        <v>0</v>
      </c>
      <c r="F6" s="19">
        <f>COUNTIFS(Pruebas!B:B,"5",Pruebas!G:G,"PENDIENTE")+COUNTIFS(Pruebas!B:B,"5",Pruebas!G:G,"")</f>
        <v>0</v>
      </c>
      <c r="G6" s="20">
        <f>IFERROR((COUNTIFS(Pruebas!B:B,"5",Pruebas!G:G,"PASA")+COUNTIFS(Pruebas!B:B,"5",Pruebas!G:G,"FALLA")+COUNTIFS(Pruebas!B:B,"5",Pruebas!G:G,"BLOQUEADO"))/COUNTIF(Pruebas!B:B,"5"),0)</f>
        <v>1</v>
      </c>
      <c r="H6" s="19"/>
      <c r="I6" s="19"/>
      <c r="J6" s="19"/>
      <c r="K6" s="19"/>
      <c r="L6" s="19"/>
      <c r="M6" s="19"/>
      <c r="N6" s="19"/>
      <c r="O6" s="19"/>
      <c r="P6" s="19"/>
      <c r="Q6" s="19"/>
      <c r="R6" s="19"/>
      <c r="S6" s="19"/>
      <c r="T6" s="19"/>
      <c r="U6" s="19"/>
      <c r="V6" s="19"/>
      <c r="W6" s="19"/>
      <c r="X6" s="19"/>
      <c r="Y6" s="19"/>
      <c r="Z6" s="19"/>
    </row>
    <row r="7" ht="21.75" customHeight="1">
      <c r="A7" s="18" t="s">
        <v>423</v>
      </c>
      <c r="B7" s="19">
        <f>COUNTIF(Pruebas!B:B,"6")</f>
        <v>13</v>
      </c>
      <c r="C7" s="19">
        <f>COUNTIFS(Pruebas!B:B,"6",Pruebas!G:G,"PASA")</f>
        <v>9</v>
      </c>
      <c r="D7" s="19">
        <f>COUNTIFS(Pruebas!B:B,"6",Pruebas!G:G,"FALLA")</f>
        <v>4</v>
      </c>
      <c r="E7" s="19">
        <f>COUNTIFS(Pruebas!B:B,"6",Pruebas!G:G,"BLOQUEADO")</f>
        <v>0</v>
      </c>
      <c r="F7" s="19">
        <f>COUNTIFS(Pruebas!B:B,"6",Pruebas!G:G,"PENDIENTE")+COUNTIFS(Pruebas!B:B,"6",Pruebas!G:G,"")</f>
        <v>0</v>
      </c>
      <c r="G7" s="20">
        <f>IFERROR((COUNTIFS(Pruebas!B:B,"6",Pruebas!G:G,"PASA")+COUNTIFS(Pruebas!B:B,"6",Pruebas!G:G,"FALLA")+COUNTIFS(Pruebas!B:B,"6",Pruebas!G:G,"BLOQUEADO"))/COUNTIF(Pruebas!B:B,"6"),0)</f>
        <v>1</v>
      </c>
      <c r="H7" s="19"/>
      <c r="I7" s="19"/>
      <c r="J7" s="19"/>
      <c r="K7" s="19"/>
      <c r="L7" s="19"/>
      <c r="M7" s="19"/>
      <c r="N7" s="19"/>
      <c r="O7" s="19"/>
      <c r="P7" s="19"/>
      <c r="Q7" s="19"/>
      <c r="R7" s="19"/>
      <c r="S7" s="19"/>
      <c r="T7" s="19"/>
      <c r="U7" s="19"/>
      <c r="V7" s="19"/>
      <c r="W7" s="19"/>
      <c r="X7" s="19"/>
      <c r="Y7" s="19"/>
      <c r="Z7" s="19"/>
    </row>
    <row r="8" ht="25.5" customHeight="1">
      <c r="A8" s="21" t="s">
        <v>424</v>
      </c>
      <c r="B8" s="21">
        <f t="shared" ref="B8:F8" si="1">SUM(B2:B7)</f>
        <v>114</v>
      </c>
      <c r="C8" s="21">
        <f t="shared" si="1"/>
        <v>88</v>
      </c>
      <c r="D8" s="21">
        <f t="shared" si="1"/>
        <v>26</v>
      </c>
      <c r="E8" s="21">
        <f t="shared" si="1"/>
        <v>0</v>
      </c>
      <c r="F8" s="21">
        <f t="shared" si="1"/>
        <v>0</v>
      </c>
      <c r="G8" s="22">
        <f>IFERROR((C8+D8+E8)/B8,0)</f>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2626"/>
    <pageSetUpPr/>
  </sheetPr>
  <sheetViews>
    <sheetView workbookViewId="0"/>
  </sheetViews>
  <sheetFormatPr customHeight="1" defaultColWidth="14.43" defaultRowHeight="15.0"/>
  <cols>
    <col customWidth="1" min="1" max="1" width="5.0"/>
    <col customWidth="1" min="2" max="2" width="30.0"/>
    <col customWidth="1" min="3" max="3" width="60.0"/>
    <col customWidth="1" min="4" max="4" width="50.0"/>
    <col customWidth="1" min="5" max="6" width="14.0"/>
    <col customWidth="1" min="7" max="7" width="20.0"/>
    <col customWidth="1" min="8" max="8" width="14.0"/>
    <col customWidth="1" min="9" max="26" width="8.71"/>
  </cols>
  <sheetData>
    <row r="1" ht="27.75" customHeight="1">
      <c r="A1" s="23" t="s">
        <v>0</v>
      </c>
      <c r="B1" s="23" t="s">
        <v>425</v>
      </c>
      <c r="C1" s="23" t="s">
        <v>426</v>
      </c>
      <c r="D1" s="23" t="s">
        <v>427</v>
      </c>
      <c r="E1" s="23" t="s">
        <v>7</v>
      </c>
      <c r="F1" s="23" t="s">
        <v>6</v>
      </c>
      <c r="G1" s="23" t="s">
        <v>428</v>
      </c>
      <c r="H1" s="23" t="s">
        <v>429</v>
      </c>
    </row>
    <row r="2" ht="30.0" customHeight="1">
      <c r="A2" s="24">
        <v>1.0</v>
      </c>
      <c r="B2" s="24" t="s">
        <v>16</v>
      </c>
      <c r="C2" s="24" t="s">
        <v>16</v>
      </c>
      <c r="D2" s="24" t="s">
        <v>16</v>
      </c>
      <c r="E2" s="24" t="s">
        <v>16</v>
      </c>
      <c r="F2" s="24" t="s">
        <v>16</v>
      </c>
      <c r="G2" s="24" t="s">
        <v>16</v>
      </c>
      <c r="H2" s="24" t="s">
        <v>16</v>
      </c>
      <c r="I2" s="8"/>
      <c r="J2" s="8"/>
      <c r="K2" s="8"/>
      <c r="L2" s="8"/>
      <c r="M2" s="8"/>
      <c r="N2" s="8"/>
      <c r="O2" s="8"/>
      <c r="P2" s="8"/>
      <c r="Q2" s="8"/>
      <c r="R2" s="8"/>
      <c r="S2" s="8"/>
      <c r="T2" s="8"/>
      <c r="U2" s="8"/>
      <c r="V2" s="8"/>
      <c r="W2" s="8"/>
      <c r="X2" s="8"/>
      <c r="Y2" s="8"/>
      <c r="Z2" s="8"/>
    </row>
    <row r="3" ht="30.0" customHeight="1">
      <c r="A3" s="24">
        <v>2.0</v>
      </c>
      <c r="B3" s="24" t="s">
        <v>16</v>
      </c>
      <c r="C3" s="24" t="s">
        <v>16</v>
      </c>
      <c r="D3" s="24" t="s">
        <v>16</v>
      </c>
      <c r="E3" s="24" t="s">
        <v>16</v>
      </c>
      <c r="F3" s="24" t="s">
        <v>16</v>
      </c>
      <c r="G3" s="24" t="s">
        <v>16</v>
      </c>
      <c r="H3" s="24" t="s">
        <v>16</v>
      </c>
      <c r="I3" s="8"/>
      <c r="J3" s="8"/>
      <c r="K3" s="8"/>
      <c r="L3" s="8"/>
      <c r="M3" s="8"/>
      <c r="N3" s="8"/>
      <c r="O3" s="8"/>
      <c r="P3" s="8"/>
      <c r="Q3" s="8"/>
      <c r="R3" s="8"/>
      <c r="S3" s="8"/>
      <c r="T3" s="8"/>
      <c r="U3" s="8"/>
      <c r="V3" s="8"/>
      <c r="W3" s="8"/>
      <c r="X3" s="8"/>
      <c r="Y3" s="8"/>
      <c r="Z3" s="8"/>
    </row>
    <row r="4" ht="30.0" customHeight="1">
      <c r="A4" s="24">
        <v>3.0</v>
      </c>
      <c r="B4" s="24" t="s">
        <v>16</v>
      </c>
      <c r="C4" s="24" t="s">
        <v>16</v>
      </c>
      <c r="D4" s="24" t="s">
        <v>16</v>
      </c>
      <c r="E4" s="24" t="s">
        <v>16</v>
      </c>
      <c r="F4" s="24" t="s">
        <v>16</v>
      </c>
      <c r="G4" s="24" t="s">
        <v>16</v>
      </c>
      <c r="H4" s="24" t="s">
        <v>16</v>
      </c>
      <c r="I4" s="8"/>
      <c r="J4" s="8"/>
      <c r="K4" s="8"/>
      <c r="L4" s="8"/>
      <c r="M4" s="8"/>
      <c r="N4" s="8"/>
      <c r="O4" s="8"/>
      <c r="P4" s="8"/>
      <c r="Q4" s="8"/>
      <c r="R4" s="8"/>
      <c r="S4" s="8"/>
      <c r="T4" s="8"/>
      <c r="U4" s="8"/>
      <c r="V4" s="8"/>
      <c r="W4" s="8"/>
      <c r="X4" s="8"/>
      <c r="Y4" s="8"/>
      <c r="Z4" s="8"/>
    </row>
    <row r="5" ht="30.0" customHeight="1">
      <c r="A5" s="24">
        <v>4.0</v>
      </c>
      <c r="B5" s="24" t="s">
        <v>16</v>
      </c>
      <c r="C5" s="24" t="s">
        <v>16</v>
      </c>
      <c r="D5" s="24" t="s">
        <v>16</v>
      </c>
      <c r="E5" s="24" t="s">
        <v>16</v>
      </c>
      <c r="F5" s="24" t="s">
        <v>16</v>
      </c>
      <c r="G5" s="24" t="s">
        <v>16</v>
      </c>
      <c r="H5" s="24" t="s">
        <v>16</v>
      </c>
      <c r="I5" s="8"/>
      <c r="J5" s="8"/>
      <c r="K5" s="8"/>
      <c r="L5" s="8"/>
      <c r="M5" s="8"/>
      <c r="N5" s="8"/>
      <c r="O5" s="8"/>
      <c r="P5" s="8"/>
      <c r="Q5" s="8"/>
      <c r="R5" s="8"/>
      <c r="S5" s="8"/>
      <c r="T5" s="8"/>
      <c r="U5" s="8"/>
      <c r="V5" s="8"/>
      <c r="W5" s="8"/>
      <c r="X5" s="8"/>
      <c r="Y5" s="8"/>
      <c r="Z5" s="8"/>
    </row>
    <row r="6" ht="30.0" customHeight="1">
      <c r="A6" s="24">
        <v>5.0</v>
      </c>
      <c r="B6" s="24" t="s">
        <v>16</v>
      </c>
      <c r="C6" s="24" t="s">
        <v>16</v>
      </c>
      <c r="D6" s="24" t="s">
        <v>16</v>
      </c>
      <c r="E6" s="24" t="s">
        <v>16</v>
      </c>
      <c r="F6" s="24" t="s">
        <v>16</v>
      </c>
      <c r="G6" s="24" t="s">
        <v>16</v>
      </c>
      <c r="H6" s="24" t="s">
        <v>16</v>
      </c>
      <c r="I6" s="8"/>
      <c r="J6" s="8"/>
      <c r="K6" s="8"/>
      <c r="L6" s="8"/>
      <c r="M6" s="8"/>
      <c r="N6" s="8"/>
      <c r="O6" s="8"/>
      <c r="P6" s="8"/>
      <c r="Q6" s="8"/>
      <c r="R6" s="8"/>
      <c r="S6" s="8"/>
      <c r="T6" s="8"/>
      <c r="U6" s="8"/>
      <c r="V6" s="8"/>
      <c r="W6" s="8"/>
      <c r="X6" s="8"/>
      <c r="Y6" s="8"/>
      <c r="Z6" s="8"/>
    </row>
    <row r="7" ht="30.0" customHeight="1">
      <c r="A7" s="24">
        <v>6.0</v>
      </c>
      <c r="B7" s="24" t="s">
        <v>16</v>
      </c>
      <c r="C7" s="24" t="s">
        <v>16</v>
      </c>
      <c r="D7" s="24" t="s">
        <v>16</v>
      </c>
      <c r="E7" s="24" t="s">
        <v>16</v>
      </c>
      <c r="F7" s="24" t="s">
        <v>16</v>
      </c>
      <c r="G7" s="24" t="s">
        <v>16</v>
      </c>
      <c r="H7" s="24" t="s">
        <v>16</v>
      </c>
      <c r="I7" s="8"/>
      <c r="J7" s="8"/>
      <c r="K7" s="8"/>
      <c r="L7" s="8"/>
      <c r="M7" s="8"/>
      <c r="N7" s="8"/>
      <c r="O7" s="8"/>
      <c r="P7" s="8"/>
      <c r="Q7" s="8"/>
      <c r="R7" s="8"/>
      <c r="S7" s="8"/>
      <c r="T7" s="8"/>
      <c r="U7" s="8"/>
      <c r="V7" s="8"/>
      <c r="W7" s="8"/>
      <c r="X7" s="8"/>
      <c r="Y7" s="8"/>
      <c r="Z7" s="8"/>
    </row>
    <row r="8" ht="30.0" customHeight="1">
      <c r="A8" s="24">
        <v>7.0</v>
      </c>
      <c r="B8" s="24" t="s">
        <v>16</v>
      </c>
      <c r="C8" s="24" t="s">
        <v>16</v>
      </c>
      <c r="D8" s="24" t="s">
        <v>16</v>
      </c>
      <c r="E8" s="24" t="s">
        <v>16</v>
      </c>
      <c r="F8" s="24" t="s">
        <v>16</v>
      </c>
      <c r="G8" s="24" t="s">
        <v>16</v>
      </c>
      <c r="H8" s="24" t="s">
        <v>16</v>
      </c>
      <c r="I8" s="8"/>
      <c r="J8" s="8"/>
      <c r="K8" s="8"/>
      <c r="L8" s="8"/>
      <c r="M8" s="8"/>
      <c r="N8" s="8"/>
      <c r="O8" s="8"/>
      <c r="P8" s="8"/>
      <c r="Q8" s="8"/>
      <c r="R8" s="8"/>
      <c r="S8" s="8"/>
      <c r="T8" s="8"/>
      <c r="U8" s="8"/>
      <c r="V8" s="8"/>
      <c r="W8" s="8"/>
      <c r="X8" s="8"/>
      <c r="Y8" s="8"/>
      <c r="Z8" s="8"/>
    </row>
    <row r="9" ht="30.0" customHeight="1">
      <c r="A9" s="24">
        <v>8.0</v>
      </c>
      <c r="B9" s="24" t="s">
        <v>16</v>
      </c>
      <c r="C9" s="24" t="s">
        <v>16</v>
      </c>
      <c r="D9" s="24" t="s">
        <v>16</v>
      </c>
      <c r="E9" s="24" t="s">
        <v>16</v>
      </c>
      <c r="F9" s="24" t="s">
        <v>16</v>
      </c>
      <c r="G9" s="24" t="s">
        <v>16</v>
      </c>
      <c r="H9" s="24" t="s">
        <v>16</v>
      </c>
      <c r="I9" s="8"/>
      <c r="J9" s="8"/>
      <c r="K9" s="8"/>
      <c r="L9" s="8"/>
      <c r="M9" s="8"/>
      <c r="N9" s="8"/>
      <c r="O9" s="8"/>
      <c r="P9" s="8"/>
      <c r="Q9" s="8"/>
      <c r="R9" s="8"/>
      <c r="S9" s="8"/>
      <c r="T9" s="8"/>
      <c r="U9" s="8"/>
      <c r="V9" s="8"/>
      <c r="W9" s="8"/>
      <c r="X9" s="8"/>
      <c r="Y9" s="8"/>
      <c r="Z9" s="8"/>
    </row>
    <row r="10" ht="30.0" customHeight="1">
      <c r="A10" s="24">
        <v>9.0</v>
      </c>
      <c r="B10" s="24" t="s">
        <v>16</v>
      </c>
      <c r="C10" s="24" t="s">
        <v>16</v>
      </c>
      <c r="D10" s="24" t="s">
        <v>16</v>
      </c>
      <c r="E10" s="24" t="s">
        <v>16</v>
      </c>
      <c r="F10" s="24" t="s">
        <v>16</v>
      </c>
      <c r="G10" s="24" t="s">
        <v>16</v>
      </c>
      <c r="H10" s="24" t="s">
        <v>16</v>
      </c>
      <c r="I10" s="8"/>
      <c r="J10" s="8"/>
      <c r="K10" s="8"/>
      <c r="L10" s="8"/>
      <c r="M10" s="8"/>
      <c r="N10" s="8"/>
      <c r="O10" s="8"/>
      <c r="P10" s="8"/>
      <c r="Q10" s="8"/>
      <c r="R10" s="8"/>
      <c r="S10" s="8"/>
      <c r="T10" s="8"/>
      <c r="U10" s="8"/>
      <c r="V10" s="8"/>
      <c r="W10" s="8"/>
      <c r="X10" s="8"/>
      <c r="Y10" s="8"/>
      <c r="Z10" s="8"/>
    </row>
    <row r="11" ht="30.0" customHeight="1">
      <c r="A11" s="24">
        <v>10.0</v>
      </c>
      <c r="B11" s="24" t="s">
        <v>16</v>
      </c>
      <c r="C11" s="24" t="s">
        <v>16</v>
      </c>
      <c r="D11" s="24" t="s">
        <v>16</v>
      </c>
      <c r="E11" s="24" t="s">
        <v>16</v>
      </c>
      <c r="F11" s="24" t="s">
        <v>16</v>
      </c>
      <c r="G11" s="24" t="s">
        <v>16</v>
      </c>
      <c r="H11" s="24" t="s">
        <v>16</v>
      </c>
      <c r="I11" s="8"/>
      <c r="J11" s="8"/>
      <c r="K11" s="8"/>
      <c r="L11" s="8"/>
      <c r="M11" s="8"/>
      <c r="N11" s="8"/>
      <c r="O11" s="8"/>
      <c r="P11" s="8"/>
      <c r="Q11" s="8"/>
      <c r="R11" s="8"/>
      <c r="S11" s="8"/>
      <c r="T11" s="8"/>
      <c r="U11" s="8"/>
      <c r="V11" s="8"/>
      <c r="W11" s="8"/>
      <c r="X11" s="8"/>
      <c r="Y11" s="8"/>
      <c r="Z11" s="8"/>
    </row>
    <row r="12" ht="30.0" customHeight="1">
      <c r="A12" s="24">
        <v>11.0</v>
      </c>
      <c r="B12" s="24" t="s">
        <v>16</v>
      </c>
      <c r="C12" s="24" t="s">
        <v>16</v>
      </c>
      <c r="D12" s="24" t="s">
        <v>16</v>
      </c>
      <c r="E12" s="24" t="s">
        <v>16</v>
      </c>
      <c r="F12" s="24" t="s">
        <v>16</v>
      </c>
      <c r="G12" s="24" t="s">
        <v>16</v>
      </c>
      <c r="H12" s="24" t="s">
        <v>16</v>
      </c>
      <c r="I12" s="8"/>
      <c r="J12" s="8"/>
      <c r="K12" s="8"/>
      <c r="L12" s="8"/>
      <c r="M12" s="8"/>
      <c r="N12" s="8"/>
      <c r="O12" s="8"/>
      <c r="P12" s="8"/>
      <c r="Q12" s="8"/>
      <c r="R12" s="8"/>
      <c r="S12" s="8"/>
      <c r="T12" s="8"/>
      <c r="U12" s="8"/>
      <c r="V12" s="8"/>
      <c r="W12" s="8"/>
      <c r="X12" s="8"/>
      <c r="Y12" s="8"/>
      <c r="Z12" s="8"/>
    </row>
    <row r="13" ht="30.0" customHeight="1">
      <c r="A13" s="24">
        <v>12.0</v>
      </c>
      <c r="B13" s="24" t="s">
        <v>16</v>
      </c>
      <c r="C13" s="24" t="s">
        <v>16</v>
      </c>
      <c r="D13" s="24" t="s">
        <v>16</v>
      </c>
      <c r="E13" s="24" t="s">
        <v>16</v>
      </c>
      <c r="F13" s="24" t="s">
        <v>16</v>
      </c>
      <c r="G13" s="24" t="s">
        <v>16</v>
      </c>
      <c r="H13" s="24" t="s">
        <v>16</v>
      </c>
      <c r="I13" s="8"/>
      <c r="J13" s="8"/>
      <c r="K13" s="8"/>
      <c r="L13" s="8"/>
      <c r="M13" s="8"/>
      <c r="N13" s="8"/>
      <c r="O13" s="8"/>
      <c r="P13" s="8"/>
      <c r="Q13" s="8"/>
      <c r="R13" s="8"/>
      <c r="S13" s="8"/>
      <c r="T13" s="8"/>
      <c r="U13" s="8"/>
      <c r="V13" s="8"/>
      <c r="W13" s="8"/>
      <c r="X13" s="8"/>
      <c r="Y13" s="8"/>
      <c r="Z13" s="8"/>
    </row>
    <row r="14" ht="30.0" customHeight="1">
      <c r="A14" s="24">
        <v>13.0</v>
      </c>
      <c r="B14" s="24" t="s">
        <v>16</v>
      </c>
      <c r="C14" s="24" t="s">
        <v>16</v>
      </c>
      <c r="D14" s="24" t="s">
        <v>16</v>
      </c>
      <c r="E14" s="24" t="s">
        <v>16</v>
      </c>
      <c r="F14" s="24" t="s">
        <v>16</v>
      </c>
      <c r="G14" s="24" t="s">
        <v>16</v>
      </c>
      <c r="H14" s="24" t="s">
        <v>16</v>
      </c>
      <c r="I14" s="8"/>
      <c r="J14" s="8"/>
      <c r="K14" s="8"/>
      <c r="L14" s="8"/>
      <c r="M14" s="8"/>
      <c r="N14" s="8"/>
      <c r="O14" s="8"/>
      <c r="P14" s="8"/>
      <c r="Q14" s="8"/>
      <c r="R14" s="8"/>
      <c r="S14" s="8"/>
      <c r="T14" s="8"/>
      <c r="U14" s="8"/>
      <c r="V14" s="8"/>
      <c r="W14" s="8"/>
      <c r="X14" s="8"/>
      <c r="Y14" s="8"/>
      <c r="Z14" s="8"/>
    </row>
    <row r="15" ht="30.0" customHeight="1">
      <c r="A15" s="24">
        <v>14.0</v>
      </c>
      <c r="B15" s="24" t="s">
        <v>16</v>
      </c>
      <c r="C15" s="24" t="s">
        <v>16</v>
      </c>
      <c r="D15" s="24" t="s">
        <v>16</v>
      </c>
      <c r="E15" s="24" t="s">
        <v>16</v>
      </c>
      <c r="F15" s="24" t="s">
        <v>16</v>
      </c>
      <c r="G15" s="24" t="s">
        <v>16</v>
      </c>
      <c r="H15" s="24" t="s">
        <v>16</v>
      </c>
      <c r="I15" s="8"/>
      <c r="J15" s="8"/>
      <c r="K15" s="8"/>
      <c r="L15" s="8"/>
      <c r="M15" s="8"/>
      <c r="N15" s="8"/>
      <c r="O15" s="8"/>
      <c r="P15" s="8"/>
      <c r="Q15" s="8"/>
      <c r="R15" s="8"/>
      <c r="S15" s="8"/>
      <c r="T15" s="8"/>
      <c r="U15" s="8"/>
      <c r="V15" s="8"/>
      <c r="W15" s="8"/>
      <c r="X15" s="8"/>
      <c r="Y15" s="8"/>
      <c r="Z15" s="8"/>
    </row>
    <row r="16" ht="30.0" customHeight="1">
      <c r="A16" s="24">
        <v>15.0</v>
      </c>
      <c r="B16" s="24" t="s">
        <v>16</v>
      </c>
      <c r="C16" s="24" t="s">
        <v>16</v>
      </c>
      <c r="D16" s="24" t="s">
        <v>16</v>
      </c>
      <c r="E16" s="24" t="s">
        <v>16</v>
      </c>
      <c r="F16" s="24" t="s">
        <v>16</v>
      </c>
      <c r="G16" s="24" t="s">
        <v>16</v>
      </c>
      <c r="H16" s="24" t="s">
        <v>16</v>
      </c>
      <c r="I16" s="8"/>
      <c r="J16" s="8"/>
      <c r="K16" s="8"/>
      <c r="L16" s="8"/>
      <c r="M16" s="8"/>
      <c r="N16" s="8"/>
      <c r="O16" s="8"/>
      <c r="P16" s="8"/>
      <c r="Q16" s="8"/>
      <c r="R16" s="8"/>
      <c r="S16" s="8"/>
      <c r="T16" s="8"/>
      <c r="U16" s="8"/>
      <c r="V16" s="8"/>
      <c r="W16" s="8"/>
      <c r="X16" s="8"/>
      <c r="Y16" s="8"/>
      <c r="Z16" s="8"/>
    </row>
    <row r="17" ht="30.0" customHeight="1">
      <c r="A17" s="24">
        <v>16.0</v>
      </c>
      <c r="B17" s="24" t="s">
        <v>16</v>
      </c>
      <c r="C17" s="24" t="s">
        <v>16</v>
      </c>
      <c r="D17" s="24" t="s">
        <v>16</v>
      </c>
      <c r="E17" s="24" t="s">
        <v>16</v>
      </c>
      <c r="F17" s="24" t="s">
        <v>16</v>
      </c>
      <c r="G17" s="24" t="s">
        <v>16</v>
      </c>
      <c r="H17" s="24" t="s">
        <v>16</v>
      </c>
      <c r="I17" s="8"/>
      <c r="J17" s="8"/>
      <c r="K17" s="8"/>
      <c r="L17" s="8"/>
      <c r="M17" s="8"/>
      <c r="N17" s="8"/>
      <c r="O17" s="8"/>
      <c r="P17" s="8"/>
      <c r="Q17" s="8"/>
      <c r="R17" s="8"/>
      <c r="S17" s="8"/>
      <c r="T17" s="8"/>
      <c r="U17" s="8"/>
      <c r="V17" s="8"/>
      <c r="W17" s="8"/>
      <c r="X17" s="8"/>
      <c r="Y17" s="8"/>
      <c r="Z17" s="8"/>
    </row>
    <row r="18" ht="30.0" customHeight="1">
      <c r="A18" s="24">
        <v>17.0</v>
      </c>
      <c r="B18" s="24" t="s">
        <v>16</v>
      </c>
      <c r="C18" s="24" t="s">
        <v>16</v>
      </c>
      <c r="D18" s="24" t="s">
        <v>16</v>
      </c>
      <c r="E18" s="24" t="s">
        <v>16</v>
      </c>
      <c r="F18" s="24" t="s">
        <v>16</v>
      </c>
      <c r="G18" s="24" t="s">
        <v>16</v>
      </c>
      <c r="H18" s="24" t="s">
        <v>16</v>
      </c>
      <c r="I18" s="8"/>
      <c r="J18" s="8"/>
      <c r="K18" s="8"/>
      <c r="L18" s="8"/>
      <c r="M18" s="8"/>
      <c r="N18" s="8"/>
      <c r="O18" s="8"/>
      <c r="P18" s="8"/>
      <c r="Q18" s="8"/>
      <c r="R18" s="8"/>
      <c r="S18" s="8"/>
      <c r="T18" s="8"/>
      <c r="U18" s="8"/>
      <c r="V18" s="8"/>
      <c r="W18" s="8"/>
      <c r="X18" s="8"/>
      <c r="Y18" s="8"/>
      <c r="Z18" s="8"/>
    </row>
    <row r="19" ht="30.0" customHeight="1">
      <c r="A19" s="24">
        <v>18.0</v>
      </c>
      <c r="B19" s="24" t="s">
        <v>16</v>
      </c>
      <c r="C19" s="24" t="s">
        <v>16</v>
      </c>
      <c r="D19" s="24" t="s">
        <v>16</v>
      </c>
      <c r="E19" s="24" t="s">
        <v>16</v>
      </c>
      <c r="F19" s="24" t="s">
        <v>16</v>
      </c>
      <c r="G19" s="24" t="s">
        <v>16</v>
      </c>
      <c r="H19" s="24" t="s">
        <v>16</v>
      </c>
      <c r="I19" s="8"/>
      <c r="J19" s="8"/>
      <c r="K19" s="8"/>
      <c r="L19" s="8"/>
      <c r="M19" s="8"/>
      <c r="N19" s="8"/>
      <c r="O19" s="8"/>
      <c r="P19" s="8"/>
      <c r="Q19" s="8"/>
      <c r="R19" s="8"/>
      <c r="S19" s="8"/>
      <c r="T19" s="8"/>
      <c r="U19" s="8"/>
      <c r="V19" s="8"/>
      <c r="W19" s="8"/>
      <c r="X19" s="8"/>
      <c r="Y19" s="8"/>
      <c r="Z19" s="8"/>
    </row>
    <row r="20" ht="30.0" customHeight="1">
      <c r="A20" s="24">
        <v>19.0</v>
      </c>
      <c r="B20" s="24" t="s">
        <v>16</v>
      </c>
      <c r="C20" s="24" t="s">
        <v>16</v>
      </c>
      <c r="D20" s="24" t="s">
        <v>16</v>
      </c>
      <c r="E20" s="24" t="s">
        <v>16</v>
      </c>
      <c r="F20" s="24" t="s">
        <v>16</v>
      </c>
      <c r="G20" s="24" t="s">
        <v>16</v>
      </c>
      <c r="H20" s="24" t="s">
        <v>16</v>
      </c>
      <c r="I20" s="8"/>
      <c r="J20" s="8"/>
      <c r="K20" s="8"/>
      <c r="L20" s="8"/>
      <c r="M20" s="8"/>
      <c r="N20" s="8"/>
      <c r="O20" s="8"/>
      <c r="P20" s="8"/>
      <c r="Q20" s="8"/>
      <c r="R20" s="8"/>
      <c r="S20" s="8"/>
      <c r="T20" s="8"/>
      <c r="U20" s="8"/>
      <c r="V20" s="8"/>
      <c r="W20" s="8"/>
      <c r="X20" s="8"/>
      <c r="Y20" s="8"/>
      <c r="Z20" s="8"/>
    </row>
    <row r="21" ht="30.0" customHeight="1">
      <c r="A21" s="24">
        <v>20.0</v>
      </c>
      <c r="B21" s="24" t="s">
        <v>16</v>
      </c>
      <c r="C21" s="24" t="s">
        <v>16</v>
      </c>
      <c r="D21" s="24" t="s">
        <v>16</v>
      </c>
      <c r="E21" s="24" t="s">
        <v>16</v>
      </c>
      <c r="F21" s="24" t="s">
        <v>16</v>
      </c>
      <c r="G21" s="24" t="s">
        <v>16</v>
      </c>
      <c r="H21" s="24" t="s">
        <v>16</v>
      </c>
      <c r="I21" s="8"/>
      <c r="J21" s="8"/>
      <c r="K21" s="8"/>
      <c r="L21" s="8"/>
      <c r="M21" s="8"/>
      <c r="N21" s="8"/>
      <c r="O21" s="8"/>
      <c r="P21" s="8"/>
      <c r="Q21" s="8"/>
      <c r="R21" s="8"/>
      <c r="S21" s="8"/>
      <c r="T21" s="8"/>
      <c r="U21" s="8"/>
      <c r="V21" s="8"/>
      <c r="W21" s="8"/>
      <c r="X21" s="8"/>
      <c r="Y21" s="8"/>
      <c r="Z21" s="8"/>
    </row>
    <row r="22" ht="30.0" customHeight="1">
      <c r="A22" s="24">
        <v>21.0</v>
      </c>
      <c r="B22" s="24" t="s">
        <v>16</v>
      </c>
      <c r="C22" s="24" t="s">
        <v>16</v>
      </c>
      <c r="D22" s="24" t="s">
        <v>16</v>
      </c>
      <c r="E22" s="24" t="s">
        <v>16</v>
      </c>
      <c r="F22" s="24" t="s">
        <v>16</v>
      </c>
      <c r="G22" s="24" t="s">
        <v>16</v>
      </c>
      <c r="H22" s="24" t="s">
        <v>16</v>
      </c>
      <c r="I22" s="8"/>
      <c r="J22" s="8"/>
      <c r="K22" s="8"/>
      <c r="L22" s="8"/>
      <c r="M22" s="8"/>
      <c r="N22" s="8"/>
      <c r="O22" s="8"/>
      <c r="P22" s="8"/>
      <c r="Q22" s="8"/>
      <c r="R22" s="8"/>
      <c r="S22" s="8"/>
      <c r="T22" s="8"/>
      <c r="U22" s="8"/>
      <c r="V22" s="8"/>
      <c r="W22" s="8"/>
      <c r="X22" s="8"/>
      <c r="Y22" s="8"/>
      <c r="Z22" s="8"/>
    </row>
    <row r="23" ht="30.0" customHeight="1">
      <c r="A23" s="24">
        <v>22.0</v>
      </c>
      <c r="B23" s="24" t="s">
        <v>16</v>
      </c>
      <c r="C23" s="24" t="s">
        <v>16</v>
      </c>
      <c r="D23" s="24" t="s">
        <v>16</v>
      </c>
      <c r="E23" s="24" t="s">
        <v>16</v>
      </c>
      <c r="F23" s="24" t="s">
        <v>16</v>
      </c>
      <c r="G23" s="24" t="s">
        <v>16</v>
      </c>
      <c r="H23" s="24" t="s">
        <v>16</v>
      </c>
      <c r="I23" s="8"/>
      <c r="J23" s="8"/>
      <c r="K23" s="8"/>
      <c r="L23" s="8"/>
      <c r="M23" s="8"/>
      <c r="N23" s="8"/>
      <c r="O23" s="8"/>
      <c r="P23" s="8"/>
      <c r="Q23" s="8"/>
      <c r="R23" s="8"/>
      <c r="S23" s="8"/>
      <c r="T23" s="8"/>
      <c r="U23" s="8"/>
      <c r="V23" s="8"/>
      <c r="W23" s="8"/>
      <c r="X23" s="8"/>
      <c r="Y23" s="8"/>
      <c r="Z23" s="8"/>
    </row>
    <row r="24" ht="30.0" customHeight="1">
      <c r="A24" s="24">
        <v>23.0</v>
      </c>
      <c r="B24" s="24" t="s">
        <v>16</v>
      </c>
      <c r="C24" s="24" t="s">
        <v>16</v>
      </c>
      <c r="D24" s="24" t="s">
        <v>16</v>
      </c>
      <c r="E24" s="24" t="s">
        <v>16</v>
      </c>
      <c r="F24" s="24" t="s">
        <v>16</v>
      </c>
      <c r="G24" s="24" t="s">
        <v>16</v>
      </c>
      <c r="H24" s="24" t="s">
        <v>16</v>
      </c>
      <c r="I24" s="8"/>
      <c r="J24" s="8"/>
      <c r="K24" s="8"/>
      <c r="L24" s="8"/>
      <c r="M24" s="8"/>
      <c r="N24" s="8"/>
      <c r="O24" s="8"/>
      <c r="P24" s="8"/>
      <c r="Q24" s="8"/>
      <c r="R24" s="8"/>
      <c r="S24" s="8"/>
      <c r="T24" s="8"/>
      <c r="U24" s="8"/>
      <c r="V24" s="8"/>
      <c r="W24" s="8"/>
      <c r="X24" s="8"/>
      <c r="Y24" s="8"/>
      <c r="Z24" s="8"/>
    </row>
    <row r="25" ht="30.0" customHeight="1">
      <c r="A25" s="24">
        <v>24.0</v>
      </c>
      <c r="B25" s="24" t="s">
        <v>16</v>
      </c>
      <c r="C25" s="24" t="s">
        <v>16</v>
      </c>
      <c r="D25" s="24" t="s">
        <v>16</v>
      </c>
      <c r="E25" s="24" t="s">
        <v>16</v>
      </c>
      <c r="F25" s="24" t="s">
        <v>16</v>
      </c>
      <c r="G25" s="24" t="s">
        <v>16</v>
      </c>
      <c r="H25" s="24" t="s">
        <v>16</v>
      </c>
      <c r="I25" s="8"/>
      <c r="J25" s="8"/>
      <c r="K25" s="8"/>
      <c r="L25" s="8"/>
      <c r="M25" s="8"/>
      <c r="N25" s="8"/>
      <c r="O25" s="8"/>
      <c r="P25" s="8"/>
      <c r="Q25" s="8"/>
      <c r="R25" s="8"/>
      <c r="S25" s="8"/>
      <c r="T25" s="8"/>
      <c r="U25" s="8"/>
      <c r="V25" s="8"/>
      <c r="W25" s="8"/>
      <c r="X25" s="8"/>
      <c r="Y25" s="8"/>
      <c r="Z25" s="8"/>
    </row>
    <row r="26" ht="30.0" customHeight="1">
      <c r="A26" s="24">
        <v>25.0</v>
      </c>
      <c r="B26" s="24" t="s">
        <v>16</v>
      </c>
      <c r="C26" s="24" t="s">
        <v>16</v>
      </c>
      <c r="D26" s="24" t="s">
        <v>16</v>
      </c>
      <c r="E26" s="24" t="s">
        <v>16</v>
      </c>
      <c r="F26" s="24" t="s">
        <v>16</v>
      </c>
      <c r="G26" s="24" t="s">
        <v>16</v>
      </c>
      <c r="H26" s="24" t="s">
        <v>16</v>
      </c>
      <c r="I26" s="8"/>
      <c r="J26" s="8"/>
      <c r="K26" s="8"/>
      <c r="L26" s="8"/>
      <c r="M26" s="8"/>
      <c r="N26" s="8"/>
      <c r="O26" s="8"/>
      <c r="P26" s="8"/>
      <c r="Q26" s="8"/>
      <c r="R26" s="8"/>
      <c r="S26" s="8"/>
      <c r="T26" s="8"/>
      <c r="U26" s="8"/>
      <c r="V26" s="8"/>
      <c r="W26" s="8"/>
      <c r="X26" s="8"/>
      <c r="Y26" s="8"/>
      <c r="Z26" s="8"/>
    </row>
    <row r="27" ht="30.0" customHeight="1">
      <c r="A27" s="24">
        <v>26.0</v>
      </c>
      <c r="B27" s="24" t="s">
        <v>16</v>
      </c>
      <c r="C27" s="24" t="s">
        <v>16</v>
      </c>
      <c r="D27" s="24" t="s">
        <v>16</v>
      </c>
      <c r="E27" s="24" t="s">
        <v>16</v>
      </c>
      <c r="F27" s="24" t="s">
        <v>16</v>
      </c>
      <c r="G27" s="24" t="s">
        <v>16</v>
      </c>
      <c r="H27" s="24" t="s">
        <v>16</v>
      </c>
      <c r="I27" s="8"/>
      <c r="J27" s="8"/>
      <c r="K27" s="8"/>
      <c r="L27" s="8"/>
      <c r="M27" s="8"/>
      <c r="N27" s="8"/>
      <c r="O27" s="8"/>
      <c r="P27" s="8"/>
      <c r="Q27" s="8"/>
      <c r="R27" s="8"/>
      <c r="S27" s="8"/>
      <c r="T27" s="8"/>
      <c r="U27" s="8"/>
      <c r="V27" s="8"/>
      <c r="W27" s="8"/>
      <c r="X27" s="8"/>
      <c r="Y27" s="8"/>
      <c r="Z27" s="8"/>
    </row>
    <row r="28" ht="30.0" customHeight="1">
      <c r="A28" s="24">
        <v>27.0</v>
      </c>
      <c r="B28" s="24" t="s">
        <v>16</v>
      </c>
      <c r="C28" s="24" t="s">
        <v>16</v>
      </c>
      <c r="D28" s="24" t="s">
        <v>16</v>
      </c>
      <c r="E28" s="24" t="s">
        <v>16</v>
      </c>
      <c r="F28" s="24" t="s">
        <v>16</v>
      </c>
      <c r="G28" s="24" t="s">
        <v>16</v>
      </c>
      <c r="H28" s="24" t="s">
        <v>16</v>
      </c>
      <c r="I28" s="8"/>
      <c r="J28" s="8"/>
      <c r="K28" s="8"/>
      <c r="L28" s="8"/>
      <c r="M28" s="8"/>
      <c r="N28" s="8"/>
      <c r="O28" s="8"/>
      <c r="P28" s="8"/>
      <c r="Q28" s="8"/>
      <c r="R28" s="8"/>
      <c r="S28" s="8"/>
      <c r="T28" s="8"/>
      <c r="U28" s="8"/>
      <c r="V28" s="8"/>
      <c r="W28" s="8"/>
      <c r="X28" s="8"/>
      <c r="Y28" s="8"/>
      <c r="Z28" s="8"/>
    </row>
    <row r="29" ht="30.0" customHeight="1">
      <c r="A29" s="24">
        <v>28.0</v>
      </c>
      <c r="B29" s="24" t="s">
        <v>16</v>
      </c>
      <c r="C29" s="24" t="s">
        <v>16</v>
      </c>
      <c r="D29" s="24" t="s">
        <v>16</v>
      </c>
      <c r="E29" s="24" t="s">
        <v>16</v>
      </c>
      <c r="F29" s="24" t="s">
        <v>16</v>
      </c>
      <c r="G29" s="24" t="s">
        <v>16</v>
      </c>
      <c r="H29" s="24" t="s">
        <v>16</v>
      </c>
      <c r="I29" s="8"/>
      <c r="J29" s="8"/>
      <c r="K29" s="8"/>
      <c r="L29" s="8"/>
      <c r="M29" s="8"/>
      <c r="N29" s="8"/>
      <c r="O29" s="8"/>
      <c r="P29" s="8"/>
      <c r="Q29" s="8"/>
      <c r="R29" s="8"/>
      <c r="S29" s="8"/>
      <c r="T29" s="8"/>
      <c r="U29" s="8"/>
      <c r="V29" s="8"/>
      <c r="W29" s="8"/>
      <c r="X29" s="8"/>
      <c r="Y29" s="8"/>
      <c r="Z29" s="8"/>
    </row>
    <row r="30" ht="30.0" customHeight="1">
      <c r="A30" s="24">
        <v>29.0</v>
      </c>
      <c r="B30" s="24" t="s">
        <v>16</v>
      </c>
      <c r="C30" s="24" t="s">
        <v>16</v>
      </c>
      <c r="D30" s="24" t="s">
        <v>16</v>
      </c>
      <c r="E30" s="24" t="s">
        <v>16</v>
      </c>
      <c r="F30" s="24" t="s">
        <v>16</v>
      </c>
      <c r="G30" s="24" t="s">
        <v>16</v>
      </c>
      <c r="H30" s="24" t="s">
        <v>16</v>
      </c>
      <c r="I30" s="8"/>
      <c r="J30" s="8"/>
      <c r="K30" s="8"/>
      <c r="L30" s="8"/>
      <c r="M30" s="8"/>
      <c r="N30" s="8"/>
      <c r="O30" s="8"/>
      <c r="P30" s="8"/>
      <c r="Q30" s="8"/>
      <c r="R30" s="8"/>
      <c r="S30" s="8"/>
      <c r="T30" s="8"/>
      <c r="U30" s="8"/>
      <c r="V30" s="8"/>
      <c r="W30" s="8"/>
      <c r="X30" s="8"/>
      <c r="Y30" s="8"/>
      <c r="Z30" s="8"/>
    </row>
    <row r="31" ht="30.0" customHeight="1">
      <c r="A31" s="24">
        <v>30.0</v>
      </c>
      <c r="B31" s="24" t="s">
        <v>16</v>
      </c>
      <c r="C31" s="24" t="s">
        <v>16</v>
      </c>
      <c r="D31" s="24" t="s">
        <v>16</v>
      </c>
      <c r="E31" s="24" t="s">
        <v>16</v>
      </c>
      <c r="F31" s="24" t="s">
        <v>16</v>
      </c>
      <c r="G31" s="24" t="s">
        <v>16</v>
      </c>
      <c r="H31" s="24" t="s">
        <v>16</v>
      </c>
      <c r="I31" s="8"/>
      <c r="J31" s="8"/>
      <c r="K31" s="8"/>
      <c r="L31" s="8"/>
      <c r="M31" s="8"/>
      <c r="N31" s="8"/>
      <c r="O31" s="8"/>
      <c r="P31" s="8"/>
      <c r="Q31" s="8"/>
      <c r="R31" s="8"/>
      <c r="S31" s="8"/>
      <c r="T31" s="8"/>
      <c r="U31" s="8"/>
      <c r="V31" s="8"/>
      <c r="W31" s="8"/>
      <c r="X31" s="8"/>
      <c r="Y31" s="8"/>
      <c r="Z31" s="8"/>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
  <dataValidations>
    <dataValidation type="list" allowBlank="1" sqref="E2:E31">
      <formula1>"🔴 Crítico,🟡 Alto,🟢 Medio,⚪ Bajo"</formula1>
    </dataValidation>
    <dataValidation type="list" allowBlank="1" sqref="F2:F31">
      <formula1>"ABIERTO,EN PROGRESO,RESUELTO,DESCARTADO"</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366F1"/>
    <pageSetUpPr/>
  </sheetPr>
  <sheetViews>
    <sheetView workbookViewId="0"/>
  </sheetViews>
  <sheetFormatPr customHeight="1" defaultColWidth="14.43" defaultRowHeight="15.0"/>
  <cols>
    <col customWidth="1" min="1" max="1" width="5.0"/>
    <col customWidth="1" min="2" max="2" width="80.0"/>
    <col customWidth="1" min="3" max="3" width="10.0"/>
    <col customWidth="1" min="4" max="26" width="8.71"/>
  </cols>
  <sheetData>
    <row r="1" ht="27.75" customHeight="1">
      <c r="A1" s="25" t="s">
        <v>0</v>
      </c>
      <c r="B1" s="25" t="s">
        <v>430</v>
      </c>
      <c r="C1" s="25" t="s">
        <v>431</v>
      </c>
    </row>
    <row r="2" ht="24.0" customHeight="1">
      <c r="A2" s="26">
        <v>1.0</v>
      </c>
      <c r="B2" s="26" t="s">
        <v>432</v>
      </c>
      <c r="C2" s="19" t="s">
        <v>16</v>
      </c>
      <c r="D2" s="26"/>
      <c r="E2" s="26"/>
      <c r="F2" s="26"/>
      <c r="G2" s="26"/>
      <c r="H2" s="26"/>
      <c r="I2" s="26"/>
      <c r="J2" s="26"/>
      <c r="K2" s="26"/>
      <c r="L2" s="26"/>
      <c r="M2" s="26"/>
      <c r="N2" s="26"/>
      <c r="O2" s="26"/>
      <c r="P2" s="26"/>
      <c r="Q2" s="26"/>
      <c r="R2" s="26"/>
      <c r="S2" s="26"/>
      <c r="T2" s="26"/>
      <c r="U2" s="26"/>
      <c r="V2" s="26"/>
      <c r="W2" s="26"/>
      <c r="X2" s="26"/>
      <c r="Y2" s="26"/>
      <c r="Z2" s="26"/>
    </row>
    <row r="3" ht="24.0" customHeight="1">
      <c r="A3" s="26">
        <v>2.0</v>
      </c>
      <c r="B3" s="26" t="s">
        <v>433</v>
      </c>
      <c r="C3" s="19" t="s">
        <v>16</v>
      </c>
      <c r="D3" s="26"/>
      <c r="E3" s="26"/>
      <c r="F3" s="26"/>
      <c r="G3" s="26"/>
      <c r="H3" s="26"/>
      <c r="I3" s="26"/>
      <c r="J3" s="26"/>
      <c r="K3" s="26"/>
      <c r="L3" s="26"/>
      <c r="M3" s="26"/>
      <c r="N3" s="26"/>
      <c r="O3" s="26"/>
      <c r="P3" s="26"/>
      <c r="Q3" s="26"/>
      <c r="R3" s="26"/>
      <c r="S3" s="26"/>
      <c r="T3" s="26"/>
      <c r="U3" s="26"/>
      <c r="V3" s="26"/>
      <c r="W3" s="26"/>
      <c r="X3" s="26"/>
      <c r="Y3" s="26"/>
      <c r="Z3" s="26"/>
    </row>
    <row r="4" ht="24.0" customHeight="1">
      <c r="A4" s="26">
        <v>3.0</v>
      </c>
      <c r="B4" s="26" t="s">
        <v>434</v>
      </c>
      <c r="C4" s="19" t="s">
        <v>16</v>
      </c>
      <c r="D4" s="26"/>
      <c r="E4" s="26"/>
      <c r="F4" s="26"/>
      <c r="G4" s="26"/>
      <c r="H4" s="26"/>
      <c r="I4" s="26"/>
      <c r="J4" s="26"/>
      <c r="K4" s="26"/>
      <c r="L4" s="26"/>
      <c r="M4" s="26"/>
      <c r="N4" s="26"/>
      <c r="O4" s="26"/>
      <c r="P4" s="26"/>
      <c r="Q4" s="26"/>
      <c r="R4" s="26"/>
      <c r="S4" s="26"/>
      <c r="T4" s="26"/>
      <c r="U4" s="26"/>
      <c r="V4" s="26"/>
      <c r="W4" s="26"/>
      <c r="X4" s="26"/>
      <c r="Y4" s="26"/>
      <c r="Z4" s="26"/>
    </row>
    <row r="5" ht="24.0" customHeight="1">
      <c r="A5" s="26">
        <v>4.0</v>
      </c>
      <c r="B5" s="26" t="s">
        <v>435</v>
      </c>
      <c r="C5" s="19" t="s">
        <v>16</v>
      </c>
      <c r="D5" s="26"/>
      <c r="E5" s="26"/>
      <c r="F5" s="26"/>
      <c r="G5" s="26"/>
      <c r="H5" s="26"/>
      <c r="I5" s="26"/>
      <c r="J5" s="26"/>
      <c r="K5" s="26"/>
      <c r="L5" s="26"/>
      <c r="M5" s="26"/>
      <c r="N5" s="26"/>
      <c r="O5" s="26"/>
      <c r="P5" s="26"/>
      <c r="Q5" s="26"/>
      <c r="R5" s="26"/>
      <c r="S5" s="26"/>
      <c r="T5" s="26"/>
      <c r="U5" s="26"/>
      <c r="V5" s="26"/>
      <c r="W5" s="26"/>
      <c r="X5" s="26"/>
      <c r="Y5" s="26"/>
      <c r="Z5" s="26"/>
    </row>
    <row r="6" ht="24.0" customHeight="1">
      <c r="A6" s="26">
        <v>5.0</v>
      </c>
      <c r="B6" s="26" t="s">
        <v>436</v>
      </c>
      <c r="C6" s="19" t="s">
        <v>16</v>
      </c>
      <c r="D6" s="26"/>
      <c r="E6" s="26"/>
      <c r="F6" s="26"/>
      <c r="G6" s="26"/>
      <c r="H6" s="26"/>
      <c r="I6" s="26"/>
      <c r="J6" s="26"/>
      <c r="K6" s="26"/>
      <c r="L6" s="26"/>
      <c r="M6" s="26"/>
      <c r="N6" s="26"/>
      <c r="O6" s="26"/>
      <c r="P6" s="26"/>
      <c r="Q6" s="26"/>
      <c r="R6" s="26"/>
      <c r="S6" s="26"/>
      <c r="T6" s="26"/>
      <c r="U6" s="26"/>
      <c r="V6" s="26"/>
      <c r="W6" s="26"/>
      <c r="X6" s="26"/>
      <c r="Y6" s="26"/>
      <c r="Z6" s="26"/>
    </row>
    <row r="7" ht="24.0" customHeight="1">
      <c r="A7" s="26">
        <v>6.0</v>
      </c>
      <c r="B7" s="26" t="s">
        <v>437</v>
      </c>
      <c r="C7" s="19" t="s">
        <v>16</v>
      </c>
      <c r="D7" s="26"/>
      <c r="E7" s="26"/>
      <c r="F7" s="26"/>
      <c r="G7" s="26"/>
      <c r="H7" s="26"/>
      <c r="I7" s="26"/>
      <c r="J7" s="26"/>
      <c r="K7" s="26"/>
      <c r="L7" s="26"/>
      <c r="M7" s="26"/>
      <c r="N7" s="26"/>
      <c r="O7" s="26"/>
      <c r="P7" s="26"/>
      <c r="Q7" s="26"/>
      <c r="R7" s="26"/>
      <c r="S7" s="26"/>
      <c r="T7" s="26"/>
      <c r="U7" s="26"/>
      <c r="V7" s="26"/>
      <c r="W7" s="26"/>
      <c r="X7" s="26"/>
      <c r="Y7" s="26"/>
      <c r="Z7" s="26"/>
    </row>
    <row r="8" ht="24.0" customHeight="1">
      <c r="A8" s="26">
        <v>7.0</v>
      </c>
      <c r="B8" s="26" t="s">
        <v>438</v>
      </c>
      <c r="C8" s="19" t="s">
        <v>16</v>
      </c>
      <c r="D8" s="26"/>
      <c r="E8" s="26"/>
      <c r="F8" s="26"/>
      <c r="G8" s="26"/>
      <c r="H8" s="26"/>
      <c r="I8" s="26"/>
      <c r="J8" s="26"/>
      <c r="K8" s="26"/>
      <c r="L8" s="26"/>
      <c r="M8" s="26"/>
      <c r="N8" s="26"/>
      <c r="O8" s="26"/>
      <c r="P8" s="26"/>
      <c r="Q8" s="26"/>
      <c r="R8" s="26"/>
      <c r="S8" s="26"/>
      <c r="T8" s="26"/>
      <c r="U8" s="26"/>
      <c r="V8" s="26"/>
      <c r="W8" s="26"/>
      <c r="X8" s="26"/>
      <c r="Y8" s="26"/>
      <c r="Z8" s="26"/>
    </row>
    <row r="9" ht="24.0" customHeight="1">
      <c r="A9" s="26">
        <v>8.0</v>
      </c>
      <c r="B9" s="26" t="s">
        <v>439</v>
      </c>
      <c r="C9" s="19" t="s">
        <v>16</v>
      </c>
      <c r="D9" s="26"/>
      <c r="E9" s="26"/>
      <c r="F9" s="26"/>
      <c r="G9" s="26"/>
      <c r="H9" s="26"/>
      <c r="I9" s="26"/>
      <c r="J9" s="26"/>
      <c r="K9" s="26"/>
      <c r="L9" s="26"/>
      <c r="M9" s="26"/>
      <c r="N9" s="26"/>
      <c r="O9" s="26"/>
      <c r="P9" s="26"/>
      <c r="Q9" s="26"/>
      <c r="R9" s="26"/>
      <c r="S9" s="26"/>
      <c r="T9" s="26"/>
      <c r="U9" s="26"/>
      <c r="V9" s="26"/>
      <c r="W9" s="26"/>
      <c r="X9" s="26"/>
      <c r="Y9" s="26"/>
      <c r="Z9" s="26"/>
    </row>
    <row r="10" ht="24.0" customHeight="1">
      <c r="A10" s="26">
        <v>9.0</v>
      </c>
      <c r="B10" s="26" t="s">
        <v>440</v>
      </c>
      <c r="C10" s="19" t="s">
        <v>16</v>
      </c>
      <c r="D10" s="26"/>
      <c r="E10" s="26"/>
      <c r="F10" s="26"/>
      <c r="G10" s="26"/>
      <c r="H10" s="26"/>
      <c r="I10" s="26"/>
      <c r="J10" s="26"/>
      <c r="K10" s="26"/>
      <c r="L10" s="26"/>
      <c r="M10" s="26"/>
      <c r="N10" s="26"/>
      <c r="O10" s="26"/>
      <c r="P10" s="26"/>
      <c r="Q10" s="26"/>
      <c r="R10" s="26"/>
      <c r="S10" s="26"/>
      <c r="T10" s="26"/>
      <c r="U10" s="26"/>
      <c r="V10" s="26"/>
      <c r="W10" s="26"/>
      <c r="X10" s="26"/>
      <c r="Y10" s="26"/>
      <c r="Z10" s="2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C2:C10">
      <formula1>"✅,⏳"</formula1>
    </dataValidation>
  </dataValidation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2026-05-26T15:06:17Z</dcterms:created>
  <dc:creator>ADL ONE QA</dc:creator>
</cp:coreProperties>
</file>