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uebas" state="visible" r:id="rId4"/>
    <sheet sheetId="2" name="Resumen" state="visible" r:id="rId5"/>
    <sheet sheetId="3" name="Hallazgos nuevos" state="visible" r:id="rId6"/>
    <sheet sheetId="4" name="Prerequisitos" state="visible" r:id="rId7"/>
  </sheets>
  <calcPr calcId="171027"/>
</workbook>
</file>

<file path=xl/sharedStrings.xml><?xml version="1.0" encoding="utf-8"?>
<sst xmlns="http://schemas.openxmlformats.org/spreadsheetml/2006/main" count="1174" uniqueCount="388">
  <si>
    <t>#</t>
  </si>
  <si>
    <t>Fase</t>
  </si>
  <si>
    <t>ID</t>
  </si>
  <si>
    <t>Caso de prueba</t>
  </si>
  <si>
    <t>Resultado esperado</t>
  </si>
  <si>
    <t>Resultado obtenido</t>
  </si>
  <si>
    <t>Estado</t>
  </si>
  <si>
    <t>Severidad</t>
  </si>
  <si>
    <t>Notas</t>
  </si>
  <si>
    <t>1</t>
  </si>
  <si>
    <t>MA-05</t>
  </si>
  <si>
    <t>Entrar al maestro EMPRESA DE SERVICIO con 500+ registros</t>
  </si>
  <si>
    <t>No crashea con "Cannot read properties of null (toLowerCase)"</t>
  </si>
  <si>
    <t/>
  </si>
  <si>
    <t>🔴 Crítico</t>
  </si>
  <si>
    <t>RB-03</t>
  </si>
  <si>
    <t>Cambiar el rol de un usuario en Gestión de Usuarios</t>
  </si>
  <si>
    <t>No crashea con error toLowerCase</t>
  </si>
  <si>
    <t>A-07</t>
  </si>
  <si>
    <t>Asignar fecha de instalación posterior a fecha de retiro</t>
  </si>
  <si>
    <t>Toast de error nombrando los correlativos. No guarda</t>
  </si>
  <si>
    <t>A-07 (UI)</t>
  </si>
  <si>
    <t>Input F. Instalación tiene max=retiro; F. Retiro tiene min=instalación</t>
  </si>
  <si>
    <t>Navegador bloquea la combinación inválida</t>
  </si>
  <si>
    <t>🟡 Alto</t>
  </si>
  <si>
    <t>A-02</t>
  </si>
  <si>
    <t>Intentar elegir fecha anterior a hoy en asignación</t>
  </si>
  <si>
    <t>Navegador bloquea; backend rechaza si manipulan DOM</t>
  </si>
  <si>
    <t>C-07</t>
  </si>
  <si>
    <t>Reagendar desde calendario con fecha pasada</t>
  </si>
  <si>
    <t>Input min=hoy; no permite seleccionar</t>
  </si>
  <si>
    <t>A-01</t>
  </si>
  <si>
    <t>Lista de asignación NO muestra fichas en PENDIENTE COORDINACIÓN</t>
  </si>
  <si>
    <t>Solo aparecen id_validaciontecnica 5 o 6 con disponibles</t>
  </si>
  <si>
    <t>A-01 (EN PROCESO)</t>
  </si>
  <si>
    <t>Fichas EN PROCESO sin servicios disponibles no aparecen</t>
  </si>
  <si>
    <t>Filtradas por servicios_disponibles &gt; 0</t>
  </si>
  <si>
    <t>R-11</t>
  </si>
  <si>
    <t>Planificador de rutas excluye fichas PENDIENTE COORDINACIÓN</t>
  </si>
  <si>
    <t>Mismo filtro que A-01</t>
  </si>
  <si>
    <t>A-09 (servicio)</t>
  </si>
  <si>
    <t>Seleccionar Servicio 2 en planificador y guardar</t>
  </si>
  <si>
    <t>Se guarda el Servicio 2, no otro. No fallback silencioso</t>
  </si>
  <si>
    <t>A-09 (edge)</t>
  </si>
  <si>
    <t>Servicio elegido pasa a AGENDADO/EJECUTADO/CANCELADO antes de guardar</t>
  </si>
  <si>
    <t>Se omite con toast en vez de guardar incorrecto</t>
  </si>
  <si>
    <t>A-09 (403)</t>
  </si>
  <si>
    <t>Usuario con FI_GEST_ASIG abre comparación de versiones de remuestreo</t>
  </si>
  <si>
    <t>Permite abrir el modal (antes daba 403)</t>
  </si>
  <si>
    <t>C-04</t>
  </si>
  <si>
    <t>Abrir ficha YA CANCELADA en calendario</t>
  </si>
  <si>
    <t>Botón Cancelar Muestreo NO aparece</t>
  </si>
  <si>
    <t>C-05</t>
  </si>
  <si>
    <t>Abrir ficha YA EJECUTADA en calendario</t>
  </si>
  <si>
    <t>Botón Cancelar Muestreo NO aparece + backend rechaza</t>
  </si>
  <si>
    <t>C-06 INICIO</t>
  </si>
  <si>
    <t>Cambiar muestreador en evento tipo INICIO, guardar, reabrir</t>
  </si>
  <si>
    <t>Select muestra el muestreador nuevo (no el de retiro)</t>
  </si>
  <si>
    <t>C-06 RETIRO</t>
  </si>
  <si>
    <t>Evento tipo RETIRO muestra muestreador correcto (id_muestreador2)</t>
  </si>
  <si>
    <t>Select muestra muestreador de retiro</t>
  </si>
  <si>
    <t>2</t>
  </si>
  <si>
    <t>F-01a</t>
  </si>
  <si>
    <t>Crear ficha y cerrar modal con "Volver al Menú"</t>
  </si>
  <si>
    <t>Lleva al Listado de Fichas, no al selector</t>
  </si>
  <si>
    <t>F-01a (ver)</t>
  </si>
  <si>
    <t>Botón Ver Ficha del modal éxito</t>
  </si>
  <si>
    <t>Lleva al detalle de la ficha recién creada</t>
  </si>
  <si>
    <t>🟢 Medio</t>
  </si>
  <si>
    <t>F-01b</t>
  </si>
  <si>
    <t>Grabar análisis con normativas/tablas distintas</t>
  </si>
  <si>
    <t>Tabla muestra columnas Normativa y Tabla/Referencia por línea</t>
  </si>
  <si>
    <t>F-01b BD</t>
  </si>
  <si>
    <t>Inspeccionar App_Ma_FichaIngresoServicio_DET</t>
  </si>
  <si>
    <t>Cada fila tiene id_normativa y id_normativareferencia correctos</t>
  </si>
  <si>
    <t>F-01c</t>
  </si>
  <si>
    <t>Campo Número Instrumento (instrumento != Otro)</t>
  </si>
  <si>
    <t>Solo permite dígitos. Placeholder "Solo número (ej: 123)"</t>
  </si>
  <si>
    <t>F-01c (Otro)</t>
  </si>
  <si>
    <t>Campo Número Instrumento (instrumento = Otro)</t>
  </si>
  <si>
    <t>Permite texto libre. Placeholder "Texto libre"</t>
  </si>
  <si>
    <t>F-01d</t>
  </si>
  <si>
    <t>Campo Año Instrumento</t>
  </si>
  <si>
    <t>Solo dígitos máx 4. Error inline si fuera rango 1900-año+1</t>
  </si>
  <si>
    <t>F-01e</t>
  </si>
  <si>
    <t>Selects de cliente/empresa/fuente/objetivo/etc.</t>
  </si>
  <si>
    <t>No tienen "No Aplica" hardcoded como primera opción</t>
  </si>
  <si>
    <t>F-01e (excepción)</t>
  </si>
  <si>
    <t>Medición Caudal sigue teniendo "No Aplica"</t>
  </si>
  <si>
    <t>Conservado porque es opcional legítimo</t>
  </si>
  <si>
    <t>F-01f (Otro)</t>
  </si>
  <si>
    <t>Instrumento "Otro" + texto en Número</t>
  </si>
  <si>
    <t>BD guarda solo el texto (no "Otro Otro...")</t>
  </si>
  <si>
    <t>F-01f (vacío)</t>
  </si>
  <si>
    <t>Instrumento seleccionado sin número ni año</t>
  </si>
  <si>
    <t>BD guarda solo el nombre, sin "/"</t>
  </si>
  <si>
    <t>F-01f (normal)</t>
  </si>
  <si>
    <t>Instrumento "DS 90" + 123 + 2024</t>
  </si>
  <si>
    <t>BD guarda "DS 90 123/2024"</t>
  </si>
  <si>
    <t>F-01g</t>
  </si>
  <si>
    <t>Crear ficha a una hora conocida (ej 15:30)</t>
  </si>
  <si>
    <t>Línea de tiempo muestra hora local correcta (no -4h)</t>
  </si>
  <si>
    <t>F-01g BD</t>
  </si>
  <si>
    <t>Inspeccionar mae_ficha_historial.fecha</t>
  </si>
  <si>
    <t>Tiene hora local de Chile</t>
  </si>
  <si>
    <t>F-11 (analisis)</t>
  </si>
  <si>
    <t>Sin completar Antecedentes, click directo en tab Análisis</t>
  </si>
  <si>
    <t>Toast de error, no cambia de tab</t>
  </si>
  <si>
    <t>F-11 (obs)</t>
  </si>
  <si>
    <t>Sin grabar análisis, click directo en tab Observaciones</t>
  </si>
  <si>
    <t>F-15</t>
  </si>
  <si>
    <t>Cambiar Instrumento Ambiental a "No aplica"</t>
  </si>
  <si>
    <t>Campos Número y Año se vacían y deshabilitan</t>
  </si>
  <si>
    <t>F-15 reverso</t>
  </si>
  <si>
    <t>Cambiar a otro instrumento</t>
  </si>
  <si>
    <t>Campos se habilitan nuevamente</t>
  </si>
  <si>
    <t>F-16 (punto)</t>
  </si>
  <si>
    <t>En Duración escribir 1.5</t>
  </si>
  <si>
    <t>Solo guarda 15 (filtra el punto)</t>
  </si>
  <si>
    <t>F-16 (texto)</t>
  </si>
  <si>
    <t>En Duración pegar "horas"</t>
  </si>
  <si>
    <t>No se acepta nada</t>
  </si>
  <si>
    <t>F-35</t>
  </si>
  <si>
    <t>Abrir edición de ficha existente con datos completos</t>
  </si>
  <si>
    <t>Todos los campos prellenados (incluye ubicación, comuna, región, código, ETFA)</t>
  </si>
  <si>
    <t>F-36</t>
  </si>
  <si>
    <t>Tipear rápido en Nueva Observación (modo edición)</t>
  </si>
  <si>
    <t>Sin lag perceptible</t>
  </si>
  <si>
    <t>F-36 (técnica)</t>
  </si>
  <si>
    <t>Tipear rápido en observaciones Técnica/Coordinación</t>
  </si>
  <si>
    <t>Sin lag</t>
  </si>
  <si>
    <t>F-37</t>
  </si>
  <si>
    <t>Guardar edición sin cambios ni observación</t>
  </si>
  <si>
    <t>Guarda con texto por defecto, sin bloquear</t>
  </si>
  <si>
    <t>F-24</t>
  </si>
  <si>
    <t>Ficha con referencia Google Maps + coordenadas</t>
  </si>
  <si>
    <t>Sección "Ubicación" con link, botón, mapa OSM, coords</t>
  </si>
  <si>
    <t>F-25</t>
  </si>
  <si>
    <t>Ficha con link pero sin coordenadas resueltas</t>
  </si>
  <si>
    <t>Muestra link + mensaje "Coordenadas no resueltas"</t>
  </si>
  <si>
    <t>F-24/25 (sin nada)</t>
  </si>
  <si>
    <t>Ficha sin referencia ni coordenadas</t>
  </si>
  <si>
    <t>La sección no aparece</t>
  </si>
  <si>
    <t>F-34</t>
  </si>
  <si>
    <t>Abrir ficha de remuestreo (es_remuestreo=S)</t>
  </si>
  <si>
    <t>WorkflowAlert azul con referencia a ficha original + título incluye "(REMUESTREO DE LA FICHA N° X)"</t>
  </si>
  <si>
    <t>F-40 (creación)</t>
  </si>
  <si>
    <t>Crear ficha nueva, ver historial</t>
  </si>
  <si>
    <t>Aparece evento FICHA CREADA con hora correcta y usuario</t>
  </si>
  <si>
    <t>F-40 (asignación)</t>
  </si>
  <si>
    <t>Asignar fechas/muestreadores, ver historial</t>
  </si>
  <si>
    <t>Aparece "Asignación Masiva"</t>
  </si>
  <si>
    <t>F-40 (aprobación)</t>
  </si>
  <si>
    <t>Aprobar/Rechazar técnica, ver historial</t>
  </si>
  <si>
    <t>Aparece evento correspondiente</t>
  </si>
  <si>
    <t>3</t>
  </si>
  <si>
    <t>R-05 crear</t>
  </si>
  <si>
    <t>Crear grupo con nombre existente (mismo case)</t>
  </si>
  <si>
    <t>Error 409 "Ya existe un grupo con ese nombre"</t>
  </si>
  <si>
    <t>R-05 case</t>
  </si>
  <si>
    <t>Crear grupo con nombre existente en distinto case (MANTENCIÓN vs Mantención)</t>
  </si>
  <si>
    <t>Error 409 (case-insensitive)</t>
  </si>
  <si>
    <t>R-05 editar</t>
  </si>
  <si>
    <t>Renombrar grupo a uno que ya existe</t>
  </si>
  <si>
    <t>Error 409</t>
  </si>
  <si>
    <t>R-08</t>
  </si>
  <si>
    <t>Eliminar grupo con rutas → quedan en "Sin grupo"</t>
  </si>
  <si>
    <t>Header muestra botón "Asignar a grupo" o "N sin grupo — asignar"</t>
  </si>
  <si>
    <t>R-08 (1 ruta)</t>
  </si>
  <si>
    <t>Sin grupo con 1 ruta → click en botón</t>
  </si>
  <si>
    <t>Abre modal de Cambiar grupo para esa ruta</t>
  </si>
  <si>
    <t>C-09</t>
  </si>
  <si>
    <t>Placeholder del buscador de calendario</t>
  </si>
  <si>
    <t>Dice "N° ficha, correlativo, empresa, muestreador..."</t>
  </si>
  <si>
    <t>C-09 (buscar)</t>
  </si>
  <si>
    <t>Buscar por correlativo en calendario</t>
  </si>
  <si>
    <t>Filtra correctamente</t>
  </si>
  <si>
    <t>C-01</t>
  </si>
  <si>
    <t>Ficha con solo fecha de retiro asignada (sin muestreo)</t>
  </si>
  <si>
    <t>Aparece en calendario en el mes del retiro</t>
  </si>
  <si>
    <t>A-05</t>
  </si>
  <si>
    <t>En asignación, solo fecha (sin muestreador)</t>
  </si>
  <si>
    <t>Permite guardar; muestreador conserva valor previo</t>
  </si>
  <si>
    <t>A-06</t>
  </si>
  <si>
    <t>En asignación, solo muestreador (sin fecha)</t>
  </si>
  <si>
    <t>Permite guardar; fecha conserva valor previo</t>
  </si>
  <si>
    <t>A-05/06 (vacío)</t>
  </si>
  <si>
    <t>Sin ningún dato en ninguna fila</t>
  </si>
  <si>
    <t>Toast "Debe ingresar al menos una fecha o un muestreador..."</t>
  </si>
  <si>
    <t>M-06</t>
  </si>
  <si>
    <t>Descargar PDF de ficha con muestreo ejecutado</t>
  </si>
  <si>
    <t>PDF incluye sección "Datos de Ejecución del Muestreo" con totalizadores y fechas reales</t>
  </si>
  <si>
    <t>M-06 (sin ejec)</t>
  </si>
  <si>
    <t>PDF de ficha sin muestreos ejecutados</t>
  </si>
  <si>
    <t>No aparece la sección extra, solo la tabla de asignación</t>
  </si>
  <si>
    <t>R-09</t>
  </si>
  <si>
    <t>Ver historial de ejecuciones de una ruta</t>
  </si>
  <si>
    <t>Modal abre con ejecuciones registradas</t>
  </si>
  <si>
    <t>R-03</t>
  </si>
  <si>
    <t>Seleccionar fichas en planificador de rutas</t>
  </si>
  <si>
    <t>Polyline solo aparece DESPUÉS del cálculo OSRM (no línea recta intermedia)</t>
  </si>
  <si>
    <t>4</t>
  </si>
  <si>
    <t>E-01 (step1)</t>
  </si>
  <si>
    <t>En crear equipo, click "Siguiente"</t>
  </si>
  <si>
    <t>Pasa al step de Bulk Check</t>
  </si>
  <si>
    <t>E-01 (guardar)</t>
  </si>
  <si>
    <t>En step Bulk Check, click "Guardar Todo"</t>
  </si>
  <si>
    <t>Abre modal de confirmación y luego guarda</t>
  </si>
  <si>
    <t>E-01 (asociado)</t>
  </si>
  <si>
    <t>Dropdown "Equipo Asociado" en formulario</t>
  </si>
  <si>
    <t>Muestra "CÓDIGO - Nombre", no IDs crudos. Es searchable</t>
  </si>
  <si>
    <t>MS-05 (label)</t>
  </si>
  <si>
    <t>Editar muestreador → ver campo Clave</t>
  </si>
  <si>
    <t>Label "Clave de Acceso (opcional)", no required</t>
  </si>
  <si>
    <t>MS-05 (vacío)</t>
  </si>
  <si>
    <t>Editar muestreador sin escribir clave</t>
  </si>
  <si>
    <t>Conserva la clave actual (probar login)</t>
  </si>
  <si>
    <t>MS-05 (cambio)</t>
  </si>
  <si>
    <t>Editar muestreador con clave nueva</t>
  </si>
  <si>
    <t>Cambia la clave correctamente</t>
  </si>
  <si>
    <t>MS-06</t>
  </si>
  <si>
    <t>Intentar subir PDF como firma</t>
  </si>
  <si>
    <t>Toast error "La firma debe ser una imagen PNG o JPG"</t>
  </si>
  <si>
    <t>MS-07</t>
  </si>
  <si>
    <t>Subir imagen &gt; 2 MB como firma</t>
  </si>
  <si>
    <t>Toast error con tamaño real y máximo</t>
  </si>
  <si>
    <t>MS-04</t>
  </si>
  <si>
    <t>Deshabilitar muestreador con asignaciones futuras</t>
  </si>
  <si>
    <t>Alert rojo con conteo y hasta 5 ejemplos de muestreos pendientes</t>
  </si>
  <si>
    <t>MS-04 (sin)</t>
  </si>
  <si>
    <t>Deshabilitar muestreador SIN asignaciones futuras</t>
  </si>
  <si>
    <t>No aparece el Alert de advertencia</t>
  </si>
  <si>
    <t>MS-01</t>
  </si>
  <si>
    <t>Como admin con AI_MA_CREAR_NEW_MUESTREADOR</t>
  </si>
  <si>
    <t>Ve botón "Nuevo Muestreador"</t>
  </si>
  <si>
    <t>MS-02</t>
  </si>
  <si>
    <t>Crear muestreador con nombre/correo existente</t>
  </si>
  <si>
    <t>Advertencia de duplicado</t>
  </si>
  <si>
    <t>5</t>
  </si>
  <si>
    <t>S-01</t>
  </si>
  <si>
    <t>Ver el formulario de login</t>
  </si>
  <si>
    <t>Label "Usuario" (no "Usuario / Email"), placeholder "ej: jperez"</t>
  </si>
  <si>
    <t>S-11</t>
  </si>
  <si>
    <t>Login con espacios al inicio/final del usuario y contraseña</t>
  </si>
  <si>
    <t>Inicia sesión correctamente (trim)</t>
  </si>
  <si>
    <t>S-02</t>
  </si>
  <si>
    <t>Login con clave en mayúsculas distintas a la guardada</t>
  </si>
  <si>
    <t>Falla con "Credenciales inválidas"</t>
  </si>
  <si>
    <t>S-02 (usuario)</t>
  </si>
  <si>
    <t>Login con username en distinto case</t>
  </si>
  <si>
    <t>Funciona (username sigue case-insensitive)</t>
  </si>
  <si>
    <t>S-03 (404)</t>
  </si>
  <si>
    <t>Login con usuario inexistente</t>
  </si>
  <si>
    <t>Mensaje "Usuario inexistente" (HTTP 404)</t>
  </si>
  <si>
    <t>S-03 (401)</t>
  </si>
  <si>
    <t>Login con usuario válido + clave incorrecta</t>
  </si>
  <si>
    <t>Mensaje "Credenciales inválidas" (HTTP 401)</t>
  </si>
  <si>
    <t>S-03 (403)</t>
  </si>
  <si>
    <t>Login con usuario deshabilitado</t>
  </si>
  <si>
    <t>Mensaje "Usuario deshabilitado" (HTTP 403)</t>
  </si>
  <si>
    <t>S-13 bloqueo</t>
  </si>
  <si>
    <t>Fallar login 5 veces seguidas</t>
  </si>
  <si>
    <t>Al 6to intento: "Demasiados intentos fallidos. Inténtelo en N minutos" (HTTP 423)</t>
  </si>
  <si>
    <t>S-13 reset</t>
  </si>
  <si>
    <t>Login exitoso después de fallar 2-3 veces</t>
  </si>
  <si>
    <t>Contador se resetea</t>
  </si>
  <si>
    <t>S-13 BD</t>
  </si>
  <si>
    <t>Inspeccionar mae_login_attempts</t>
  </si>
  <si>
    <t>Tiene failed_count y locked_until poblados</t>
  </si>
  <si>
    <t>S-07</t>
  </si>
  <si>
    <t>Esperar expiración del JWT o forzar invalidación</t>
  </si>
  <si>
    <t>Próxima petición: logout automático con mensaje "Tu sesión fue cerrada..."</t>
  </si>
  <si>
    <t>S-14 enviado</t>
  </si>
  <si>
    <t>Clic en "¿Olvidaste tu contraseña?" + email registrado</t>
  </si>
  <si>
    <t>Mensaje genérico "Si el email está registrado..."</t>
  </si>
  <si>
    <t>S-15 genérico</t>
  </si>
  <si>
    <t>Solicitar reset con email NO registrado</t>
  </si>
  <si>
    <t>Mismo mensaje genérico (no revela existencia)</t>
  </si>
  <si>
    <t>S-14 email</t>
  </si>
  <si>
    <t>Verificar inbox del email registrado</t>
  </si>
  <si>
    <t>Llega el correo con link válido por 60 min</t>
  </si>
  <si>
    <t>S-16 link válido</t>
  </si>
  <si>
    <t>Abrir el link del email</t>
  </si>
  <si>
    <t>Muestra form de Reset con nombre de usuario</t>
  </si>
  <si>
    <t>S-16 manipulado</t>
  </si>
  <si>
    <t>Modificar el token en la URL</t>
  </si>
  <si>
    <t>Muestra "El link no es válido"</t>
  </si>
  <si>
    <t>S-16 usado</t>
  </si>
  <si>
    <t>Usar el link dos veces</t>
  </si>
  <si>
    <t>Segunda vez: "El link ya fue utilizado"</t>
  </si>
  <si>
    <t>S-16 expirado</t>
  </si>
  <si>
    <t>Esperar &gt; 60 min y abrir el link</t>
  </si>
  <si>
    <t>Muestra "El link ha expirado"</t>
  </si>
  <si>
    <t>S-17</t>
  </si>
  <si>
    <t>Solicitar reset dos veces seguidas</t>
  </si>
  <si>
    <t>Solo el último link funciona; el primero queda inválido</t>
  </si>
  <si>
    <t>Reset aplicar</t>
  </si>
  <si>
    <t>Aplicar nueva clave + intentar login</t>
  </si>
  <si>
    <t>Login funciona con nueva clave</t>
  </si>
  <si>
    <t>Reset bloqueo</t>
  </si>
  <si>
    <t>Si el usuario estaba bloqueado por intentos, completar reset</t>
  </si>
  <si>
    <t>Bloqueo se limpia automáticamente</t>
  </si>
  <si>
    <t>RB-01 overlay</t>
  </si>
  <si>
    <t>Abrir modal Crear Nuevo Usuario</t>
  </si>
  <si>
    <t>NO se ve overlay blanco residual detrás del modal</t>
  </si>
  <si>
    <t>RB-01 lag</t>
  </si>
  <si>
    <t>Tipear en campos del modal de crear usuario</t>
  </si>
  <si>
    <t>RB-04</t>
  </si>
  <si>
    <t>Usuario A logueado, admin lo deshabilita desde otra sesión</t>
  </si>
  <si>
    <t>Próxima petición: A se desloguea automáticamente con mensaje</t>
  </si>
  <si>
    <t>RB-07</t>
  </si>
  <si>
    <t>Cambiar permisos de un usuario logueado</t>
  </si>
  <si>
    <t>Próxima petición: se desloguea (mismo mecanismo permisos_version)</t>
  </si>
  <si>
    <t>RB-08 BD</t>
  </si>
  <si>
    <t>Verificar referencias a AI_MA_ADMIN_ACCESO</t>
  </si>
  <si>
    <t>Backend verifyPermission y frontend AuthContext NO lo chequean</t>
  </si>
  <si>
    <t>RB-09</t>
  </si>
  <si>
    <t>Deshabilitar rol que tiene N usuarios</t>
  </si>
  <si>
    <t>Modal de confirmación dice "N usuarios perderán sus permisos..."</t>
  </si>
  <si>
    <t>6</t>
  </si>
  <si>
    <t>MA-01 vacío</t>
  </si>
  <si>
    <t>Crear registro de maestro con todos los campos vacíos</t>
  </si>
  <si>
    <t>Toast "Debe completar al menos un campo para guardar"</t>
  </si>
  <si>
    <t>MA-01 display</t>
  </si>
  <si>
    <t>Crear registro sin el campo principal (display) lleno</t>
  </si>
  <si>
    <t>Toast "Faltan campos obligatorios: &lt;nombre&gt;"</t>
  </si>
  <si>
    <t>MA-03</t>
  </si>
  <si>
    <t>Deshabilitar registro maestro</t>
  </si>
  <si>
    <t>Confirm() del browser con advertencia de uso en fichas activas</t>
  </si>
  <si>
    <t>MA-03 cancel</t>
  </si>
  <si>
    <t>Cancelar el confirm</t>
  </si>
  <si>
    <t>No se deshabilita el registro</t>
  </si>
  <si>
    <t>N-04</t>
  </si>
  <si>
    <t>Click en "Marcar todas como leídas"</t>
  </si>
  <si>
    <t>Badge baja a 0; notificaciones quedan sin fondo azul</t>
  </si>
  <si>
    <t>CH-03 PDF</t>
  </si>
  <si>
    <t>Enviar PDF como adjunto en chat</t>
  </si>
  <si>
    <t>Aparece icono rojo PDF (no genérico)</t>
  </si>
  <si>
    <t>CH-03 Excel</t>
  </si>
  <si>
    <t>Enviar XLSX como adjunto en chat</t>
  </si>
  <si>
    <t>Aparece icono verde Excel</t>
  </si>
  <si>
    <t>CH-03 Word</t>
  </si>
  <si>
    <t>Enviar DOCX como adjunto en chat</t>
  </si>
  <si>
    <t>Aparece icono azul Word</t>
  </si>
  <si>
    <t>CH-03 ZIP</t>
  </si>
  <si>
    <t>Enviar ZIP/RAR como adjunto en chat</t>
  </si>
  <si>
    <t>Aparece icono específico</t>
  </si>
  <si>
    <t>CH-04</t>
  </si>
  <si>
    <t>Intentar enviar archivo &gt; 25 MB en chat</t>
  </si>
  <si>
    <t>Mensaje de error con nombre y límite</t>
  </si>
  <si>
    <t>X-10</t>
  </si>
  <si>
    <t>Parar el backend mientras se está logueado</t>
  </si>
  <si>
    <t>Aparece banner naranjo "Sin conexión en tiempo real..."</t>
  </si>
  <si>
    <t>X-10 recup</t>
  </si>
  <si>
    <t>Reiniciar el backend</t>
  </si>
  <si>
    <t>Banner desaparece cuando socket reconecta</t>
  </si>
  <si>
    <t>X-08</t>
  </si>
  <si>
    <t>Solicitar reset de password para usuario con nombre &lt;script&gt;</t>
  </si>
  <si>
    <t>Email muestra el nombre como texto literal (no ejecuta)</t>
  </si>
  <si>
    <t>Total</t>
  </si>
  <si>
    <t>✅ PASA</t>
  </si>
  <si>
    <t>❌ FALLA</t>
  </si>
  <si>
    <t>⏸️ BLOQUEADO</t>
  </si>
  <si>
    <t>⏳ PENDIENTE</t>
  </si>
  <si>
    <t>% Avance</t>
  </si>
  <si>
    <t>1 — Crashes y críticos</t>
  </si>
  <si>
    <t>2 — Fichas</t>
  </si>
  <si>
    <t>3 — Rutas/Calendario/Asignación</t>
  </si>
  <si>
    <t>4 — Equipos/Muestreadores</t>
  </si>
  <si>
    <t>5 — Auth/Reset/RBAC</t>
  </si>
  <si>
    <t>6 — Polish UX</t>
  </si>
  <si>
    <t>TOTAL</t>
  </si>
  <si>
    <t>Sección</t>
  </si>
  <si>
    <t>Descripción</t>
  </si>
  <si>
    <t>Pasos para reproducir</t>
  </si>
  <si>
    <t>Asignado a</t>
  </si>
  <si>
    <t>Fecha</t>
  </si>
  <si>
    <t>Paso</t>
  </si>
  <si>
    <t>Listo</t>
  </si>
  <si>
    <t>SQL ejecutado: db-migrations/phase5-auth-tables.sql</t>
  </si>
  <si>
    <t>Variable FRONTEND_URL agregada al .env del backend (ej: http://localhost:5173)</t>
  </si>
  <si>
    <t>Backend reiniciado (npm run dev en api-backend-adlone/)</t>
  </si>
  <si>
    <t>Frontend corriendo (npm run dev en frontend-adlone/)</t>
  </si>
  <si>
    <t>SMTP del backend verificado con un envío de prueba</t>
  </si>
  <si>
    <t>Tener al menos 1 usuario admin y 1 usuario regular para pruebas RB-04/RB-07</t>
  </si>
  <si>
    <t>Tener al menos 1 ficha existente para probar edición (F-35, F-36, F-37)</t>
  </si>
  <si>
    <t>Tener al menos 1 ficha de remuestreo para probar F-34 / A-09</t>
  </si>
  <si>
    <t>Browser con consola Network abierta para verificar status 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</si>
</sst>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991B1B"/>
    </font>
    <font>
      <b/>
      <color rgb="FF92400E"/>
    </font>
    <font>
      <b/>
      <color rgb="FF065F46"/>
    </font>
    <font>
      <b/>
      <sz val="12"/>
    </font>
  </fonts>
  <fills count="1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E0E7FF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6366F1"/>
      </patternFill>
    </fill>
  </fills>
  <borders count="5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1E40AF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9" fontId="6" fillId="9" borderId="3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1" fillId="1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b/>
        <color rgb="FF14532D"/>
      </font>
      <fill>
        <patternFill patternType="solid">
          <bgColor rgb="FF86EFAC"/>
        </patternFill>
      </fill>
    </dxf>
    <dxf>
      <font>
        <b/>
        <color rgb="FF7F1D1D"/>
      </font>
      <fill>
        <patternFill patternType="solid">
          <bgColor rgb="FFFCA5A5"/>
        </patternFill>
      </fill>
    </dxf>
    <dxf>
      <font>
        <b/>
        <color rgb="FF78350F"/>
      </font>
      <fill>
        <patternFill patternType="solid">
          <bgColor rgb="FFFCD34D"/>
        </patternFill>
      </fill>
    </dxf>
    <dxf>
      <font>
        <color rgb="FF374151"/>
      </font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I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" customWidth="1"/>
    <col min="3" max="3" width="18" customWidth="1"/>
    <col min="4" max="5" width="60" customWidth="1"/>
    <col min="6" max="6" width="40" customWidth="1"/>
    <col min="7" max="8" width="14" customWidth="1"/>
    <col min="9" max="9" width="40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8" customHeight="1" spans="1:9" s="2" customFormat="1" x14ac:dyDescent="0.25">
      <c r="A2" s="3">
        <v>1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3" t="s">
        <v>13</v>
      </c>
      <c r="H2" s="6" t="s">
        <v>14</v>
      </c>
      <c r="I2" s="5" t="s">
        <v>13</v>
      </c>
    </row>
    <row r="3" ht="38" customHeight="1" spans="1:9" s="2" customFormat="1" x14ac:dyDescent="0.25">
      <c r="A3" s="3">
        <v>2</v>
      </c>
      <c r="B3" s="4" t="s">
        <v>9</v>
      </c>
      <c r="C3" s="5" t="s">
        <v>15</v>
      </c>
      <c r="D3" s="5" t="s">
        <v>16</v>
      </c>
      <c r="E3" s="5" t="s">
        <v>17</v>
      </c>
      <c r="F3" s="5" t="s">
        <v>13</v>
      </c>
      <c r="G3" s="3" t="s">
        <v>13</v>
      </c>
      <c r="H3" s="6" t="s">
        <v>14</v>
      </c>
      <c r="I3" s="5" t="s">
        <v>13</v>
      </c>
    </row>
    <row r="4" ht="38" customHeight="1" spans="1:9" s="2" customFormat="1" x14ac:dyDescent="0.25">
      <c r="A4" s="3">
        <v>3</v>
      </c>
      <c r="B4" s="4" t="s">
        <v>9</v>
      </c>
      <c r="C4" s="5" t="s">
        <v>18</v>
      </c>
      <c r="D4" s="5" t="s">
        <v>19</v>
      </c>
      <c r="E4" s="5" t="s">
        <v>20</v>
      </c>
      <c r="F4" s="5" t="s">
        <v>13</v>
      </c>
      <c r="G4" s="3" t="s">
        <v>13</v>
      </c>
      <c r="H4" s="6" t="s">
        <v>14</v>
      </c>
      <c r="I4" s="5" t="s">
        <v>13</v>
      </c>
    </row>
    <row r="5" ht="38" customHeight="1" spans="1:9" s="2" customFormat="1" x14ac:dyDescent="0.25">
      <c r="A5" s="3">
        <v>4</v>
      </c>
      <c r="B5" s="4" t="s">
        <v>9</v>
      </c>
      <c r="C5" s="5" t="s">
        <v>21</v>
      </c>
      <c r="D5" s="5" t="s">
        <v>22</v>
      </c>
      <c r="E5" s="5" t="s">
        <v>23</v>
      </c>
      <c r="F5" s="5" t="s">
        <v>13</v>
      </c>
      <c r="G5" s="3" t="s">
        <v>13</v>
      </c>
      <c r="H5" s="7" t="s">
        <v>24</v>
      </c>
      <c r="I5" s="5" t="s">
        <v>13</v>
      </c>
    </row>
    <row r="6" ht="38" customHeight="1" spans="1:9" s="2" customFormat="1" x14ac:dyDescent="0.25">
      <c r="A6" s="3">
        <v>5</v>
      </c>
      <c r="B6" s="4" t="s">
        <v>9</v>
      </c>
      <c r="C6" s="5" t="s">
        <v>25</v>
      </c>
      <c r="D6" s="5" t="s">
        <v>26</v>
      </c>
      <c r="E6" s="5" t="s">
        <v>27</v>
      </c>
      <c r="F6" s="5" t="s">
        <v>13</v>
      </c>
      <c r="G6" s="3" t="s">
        <v>13</v>
      </c>
      <c r="H6" s="6" t="s">
        <v>14</v>
      </c>
      <c r="I6" s="5" t="s">
        <v>13</v>
      </c>
    </row>
    <row r="7" ht="38" customHeight="1" spans="1:9" s="2" customFormat="1" x14ac:dyDescent="0.25">
      <c r="A7" s="3">
        <v>6</v>
      </c>
      <c r="B7" s="4" t="s">
        <v>9</v>
      </c>
      <c r="C7" s="5" t="s">
        <v>28</v>
      </c>
      <c r="D7" s="5" t="s">
        <v>29</v>
      </c>
      <c r="E7" s="5" t="s">
        <v>30</v>
      </c>
      <c r="F7" s="5" t="s">
        <v>13</v>
      </c>
      <c r="G7" s="3" t="s">
        <v>13</v>
      </c>
      <c r="H7" s="7" t="s">
        <v>24</v>
      </c>
      <c r="I7" s="5" t="s">
        <v>13</v>
      </c>
    </row>
    <row r="8" ht="38" customHeight="1" spans="1:9" s="2" customFormat="1" x14ac:dyDescent="0.25">
      <c r="A8" s="3">
        <v>7</v>
      </c>
      <c r="B8" s="4" t="s">
        <v>9</v>
      </c>
      <c r="C8" s="5" t="s">
        <v>31</v>
      </c>
      <c r="D8" s="5" t="s">
        <v>32</v>
      </c>
      <c r="E8" s="5" t="s">
        <v>33</v>
      </c>
      <c r="F8" s="5" t="s">
        <v>13</v>
      </c>
      <c r="G8" s="3" t="s">
        <v>13</v>
      </c>
      <c r="H8" s="6" t="s">
        <v>14</v>
      </c>
      <c r="I8" s="5" t="s">
        <v>13</v>
      </c>
    </row>
    <row r="9" ht="38" customHeight="1" spans="1:9" s="2" customFormat="1" x14ac:dyDescent="0.25">
      <c r="A9" s="3">
        <v>8</v>
      </c>
      <c r="B9" s="4" t="s">
        <v>9</v>
      </c>
      <c r="C9" s="5" t="s">
        <v>34</v>
      </c>
      <c r="D9" s="5" t="s">
        <v>35</v>
      </c>
      <c r="E9" s="5" t="s">
        <v>36</v>
      </c>
      <c r="F9" s="5" t="s">
        <v>13</v>
      </c>
      <c r="G9" s="3" t="s">
        <v>13</v>
      </c>
      <c r="H9" s="7" t="s">
        <v>24</v>
      </c>
      <c r="I9" s="5" t="s">
        <v>13</v>
      </c>
    </row>
    <row r="10" ht="38" customHeight="1" spans="1:9" s="2" customFormat="1" x14ac:dyDescent="0.25">
      <c r="A10" s="3">
        <v>9</v>
      </c>
      <c r="B10" s="4" t="s">
        <v>9</v>
      </c>
      <c r="C10" s="5" t="s">
        <v>37</v>
      </c>
      <c r="D10" s="5" t="s">
        <v>38</v>
      </c>
      <c r="E10" s="5" t="s">
        <v>39</v>
      </c>
      <c r="F10" s="5" t="s">
        <v>13</v>
      </c>
      <c r="G10" s="3" t="s">
        <v>13</v>
      </c>
      <c r="H10" s="6" t="s">
        <v>14</v>
      </c>
      <c r="I10" s="5" t="s">
        <v>13</v>
      </c>
    </row>
    <row r="11" ht="38" customHeight="1" spans="1:9" s="2" customFormat="1" x14ac:dyDescent="0.25">
      <c r="A11" s="3">
        <v>10</v>
      </c>
      <c r="B11" s="4" t="s">
        <v>9</v>
      </c>
      <c r="C11" s="5" t="s">
        <v>40</v>
      </c>
      <c r="D11" s="5" t="s">
        <v>41</v>
      </c>
      <c r="E11" s="5" t="s">
        <v>42</v>
      </c>
      <c r="F11" s="5" t="s">
        <v>13</v>
      </c>
      <c r="G11" s="3" t="s">
        <v>13</v>
      </c>
      <c r="H11" s="6" t="s">
        <v>14</v>
      </c>
      <c r="I11" s="5" t="s">
        <v>13</v>
      </c>
    </row>
    <row r="12" ht="38" customHeight="1" spans="1:9" s="2" customFormat="1" x14ac:dyDescent="0.25">
      <c r="A12" s="3">
        <v>11</v>
      </c>
      <c r="B12" s="4" t="s">
        <v>9</v>
      </c>
      <c r="C12" s="5" t="s">
        <v>43</v>
      </c>
      <c r="D12" s="5" t="s">
        <v>44</v>
      </c>
      <c r="E12" s="5" t="s">
        <v>45</v>
      </c>
      <c r="F12" s="5" t="s">
        <v>13</v>
      </c>
      <c r="G12" s="3" t="s">
        <v>13</v>
      </c>
      <c r="H12" s="7" t="s">
        <v>24</v>
      </c>
      <c r="I12" s="5" t="s">
        <v>13</v>
      </c>
    </row>
    <row r="13" ht="38" customHeight="1" spans="1:9" s="2" customFormat="1" x14ac:dyDescent="0.25">
      <c r="A13" s="3">
        <v>12</v>
      </c>
      <c r="B13" s="4" t="s">
        <v>9</v>
      </c>
      <c r="C13" s="5" t="s">
        <v>46</v>
      </c>
      <c r="D13" s="5" t="s">
        <v>47</v>
      </c>
      <c r="E13" s="5" t="s">
        <v>48</v>
      </c>
      <c r="F13" s="5" t="s">
        <v>13</v>
      </c>
      <c r="G13" s="3" t="s">
        <v>13</v>
      </c>
      <c r="H13" s="7" t="s">
        <v>24</v>
      </c>
      <c r="I13" s="5" t="s">
        <v>13</v>
      </c>
    </row>
    <row r="14" ht="38" customHeight="1" spans="1:9" s="2" customFormat="1" x14ac:dyDescent="0.25">
      <c r="A14" s="3">
        <v>13</v>
      </c>
      <c r="B14" s="4" t="s">
        <v>9</v>
      </c>
      <c r="C14" s="5" t="s">
        <v>49</v>
      </c>
      <c r="D14" s="5" t="s">
        <v>50</v>
      </c>
      <c r="E14" s="5" t="s">
        <v>51</v>
      </c>
      <c r="F14" s="5" t="s">
        <v>13</v>
      </c>
      <c r="G14" s="3" t="s">
        <v>13</v>
      </c>
      <c r="H14" s="7" t="s">
        <v>24</v>
      </c>
      <c r="I14" s="5" t="s">
        <v>13</v>
      </c>
    </row>
    <row r="15" ht="38" customHeight="1" spans="1:9" s="2" customFormat="1" x14ac:dyDescent="0.25">
      <c r="A15" s="3">
        <v>14</v>
      </c>
      <c r="B15" s="4" t="s">
        <v>9</v>
      </c>
      <c r="C15" s="5" t="s">
        <v>52</v>
      </c>
      <c r="D15" s="5" t="s">
        <v>53</v>
      </c>
      <c r="E15" s="5" t="s">
        <v>54</v>
      </c>
      <c r="F15" s="5" t="s">
        <v>13</v>
      </c>
      <c r="G15" s="3" t="s">
        <v>13</v>
      </c>
      <c r="H15" s="6" t="s">
        <v>14</v>
      </c>
      <c r="I15" s="5" t="s">
        <v>13</v>
      </c>
    </row>
    <row r="16" ht="38" customHeight="1" spans="1:9" s="2" customFormat="1" x14ac:dyDescent="0.25">
      <c r="A16" s="3">
        <v>15</v>
      </c>
      <c r="B16" s="4" t="s">
        <v>9</v>
      </c>
      <c r="C16" s="5" t="s">
        <v>55</v>
      </c>
      <c r="D16" s="5" t="s">
        <v>56</v>
      </c>
      <c r="E16" s="5" t="s">
        <v>57</v>
      </c>
      <c r="F16" s="5" t="s">
        <v>13</v>
      </c>
      <c r="G16" s="3" t="s">
        <v>13</v>
      </c>
      <c r="H16" s="7" t="s">
        <v>24</v>
      </c>
      <c r="I16" s="5" t="s">
        <v>13</v>
      </c>
    </row>
    <row r="17" ht="38" customHeight="1" spans="1:9" s="2" customFormat="1" x14ac:dyDescent="0.25">
      <c r="A17" s="3">
        <v>16</v>
      </c>
      <c r="B17" s="4" t="s">
        <v>9</v>
      </c>
      <c r="C17" s="5" t="s">
        <v>58</v>
      </c>
      <c r="D17" s="5" t="s">
        <v>59</v>
      </c>
      <c r="E17" s="5" t="s">
        <v>60</v>
      </c>
      <c r="F17" s="5" t="s">
        <v>13</v>
      </c>
      <c r="G17" s="3" t="s">
        <v>13</v>
      </c>
      <c r="H17" s="7" t="s">
        <v>24</v>
      </c>
      <c r="I17" s="5" t="s">
        <v>13</v>
      </c>
    </row>
    <row r="18" ht="38" customHeight="1" spans="1:9" s="2" customFormat="1" x14ac:dyDescent="0.25">
      <c r="A18" s="3">
        <v>17</v>
      </c>
      <c r="B18" s="8" t="s">
        <v>61</v>
      </c>
      <c r="C18" s="5" t="s">
        <v>62</v>
      </c>
      <c r="D18" s="5" t="s">
        <v>63</v>
      </c>
      <c r="E18" s="5" t="s">
        <v>64</v>
      </c>
      <c r="F18" s="5" t="s">
        <v>13</v>
      </c>
      <c r="G18" s="3" t="s">
        <v>13</v>
      </c>
      <c r="H18" s="7" t="s">
        <v>24</v>
      </c>
      <c r="I18" s="5" t="s">
        <v>13</v>
      </c>
    </row>
    <row r="19" ht="38" customHeight="1" spans="1:9" s="2" customFormat="1" x14ac:dyDescent="0.25">
      <c r="A19" s="3">
        <v>18</v>
      </c>
      <c r="B19" s="8" t="s">
        <v>61</v>
      </c>
      <c r="C19" s="5" t="s">
        <v>65</v>
      </c>
      <c r="D19" s="5" t="s">
        <v>66</v>
      </c>
      <c r="E19" s="5" t="s">
        <v>67</v>
      </c>
      <c r="F19" s="5" t="s">
        <v>13</v>
      </c>
      <c r="G19" s="3" t="s">
        <v>13</v>
      </c>
      <c r="H19" s="9" t="s">
        <v>68</v>
      </c>
      <c r="I19" s="5" t="s">
        <v>13</v>
      </c>
    </row>
    <row r="20" ht="38" customHeight="1" spans="1:9" s="2" customFormat="1" x14ac:dyDescent="0.25">
      <c r="A20" s="3">
        <v>19</v>
      </c>
      <c r="B20" s="8" t="s">
        <v>61</v>
      </c>
      <c r="C20" s="5" t="s">
        <v>69</v>
      </c>
      <c r="D20" s="5" t="s">
        <v>70</v>
      </c>
      <c r="E20" s="5" t="s">
        <v>71</v>
      </c>
      <c r="F20" s="5" t="s">
        <v>13</v>
      </c>
      <c r="G20" s="3" t="s">
        <v>13</v>
      </c>
      <c r="H20" s="6" t="s">
        <v>14</v>
      </c>
      <c r="I20" s="5" t="s">
        <v>13</v>
      </c>
    </row>
    <row r="21" ht="38" customHeight="1" spans="1:9" s="2" customFormat="1" x14ac:dyDescent="0.25">
      <c r="A21" s="3">
        <v>20</v>
      </c>
      <c r="B21" s="8" t="s">
        <v>61</v>
      </c>
      <c r="C21" s="5" t="s">
        <v>72</v>
      </c>
      <c r="D21" s="5" t="s">
        <v>73</v>
      </c>
      <c r="E21" s="5" t="s">
        <v>74</v>
      </c>
      <c r="F21" s="5" t="s">
        <v>13</v>
      </c>
      <c r="G21" s="3" t="s">
        <v>13</v>
      </c>
      <c r="H21" s="7" t="s">
        <v>24</v>
      </c>
      <c r="I21" s="5" t="s">
        <v>13</v>
      </c>
    </row>
    <row r="22" ht="38" customHeight="1" spans="1:9" s="2" customFormat="1" x14ac:dyDescent="0.25">
      <c r="A22" s="3">
        <v>21</v>
      </c>
      <c r="B22" s="8" t="s">
        <v>61</v>
      </c>
      <c r="C22" s="5" t="s">
        <v>75</v>
      </c>
      <c r="D22" s="5" t="s">
        <v>76</v>
      </c>
      <c r="E22" s="5" t="s">
        <v>77</v>
      </c>
      <c r="F22" s="5" t="s">
        <v>13</v>
      </c>
      <c r="G22" s="3" t="s">
        <v>13</v>
      </c>
      <c r="H22" s="7" t="s">
        <v>24</v>
      </c>
      <c r="I22" s="5" t="s">
        <v>13</v>
      </c>
    </row>
    <row r="23" ht="38" customHeight="1" spans="1:9" s="2" customFormat="1" x14ac:dyDescent="0.25">
      <c r="A23" s="3">
        <v>22</v>
      </c>
      <c r="B23" s="8" t="s">
        <v>61</v>
      </c>
      <c r="C23" s="5" t="s">
        <v>78</v>
      </c>
      <c r="D23" s="5" t="s">
        <v>79</v>
      </c>
      <c r="E23" s="5" t="s">
        <v>80</v>
      </c>
      <c r="F23" s="5" t="s">
        <v>13</v>
      </c>
      <c r="G23" s="3" t="s">
        <v>13</v>
      </c>
      <c r="H23" s="7" t="s">
        <v>24</v>
      </c>
      <c r="I23" s="5" t="s">
        <v>13</v>
      </c>
    </row>
    <row r="24" ht="38" customHeight="1" spans="1:9" s="2" customFormat="1" x14ac:dyDescent="0.25">
      <c r="A24" s="3">
        <v>23</v>
      </c>
      <c r="B24" s="8" t="s">
        <v>61</v>
      </c>
      <c r="C24" s="5" t="s">
        <v>81</v>
      </c>
      <c r="D24" s="5" t="s">
        <v>82</v>
      </c>
      <c r="E24" s="5" t="s">
        <v>83</v>
      </c>
      <c r="F24" s="5" t="s">
        <v>13</v>
      </c>
      <c r="G24" s="3" t="s">
        <v>13</v>
      </c>
      <c r="H24" s="7" t="s">
        <v>24</v>
      </c>
      <c r="I24" s="5" t="s">
        <v>13</v>
      </c>
    </row>
    <row r="25" ht="38" customHeight="1" spans="1:9" s="2" customFormat="1" x14ac:dyDescent="0.25">
      <c r="A25" s="3">
        <v>24</v>
      </c>
      <c r="B25" s="8" t="s">
        <v>61</v>
      </c>
      <c r="C25" s="5" t="s">
        <v>84</v>
      </c>
      <c r="D25" s="5" t="s">
        <v>85</v>
      </c>
      <c r="E25" s="5" t="s">
        <v>86</v>
      </c>
      <c r="F25" s="5" t="s">
        <v>13</v>
      </c>
      <c r="G25" s="3" t="s">
        <v>13</v>
      </c>
      <c r="H25" s="9" t="s">
        <v>68</v>
      </c>
      <c r="I25" s="5" t="s">
        <v>13</v>
      </c>
    </row>
    <row r="26" ht="38" customHeight="1" spans="1:9" s="2" customFormat="1" x14ac:dyDescent="0.25">
      <c r="A26" s="3">
        <v>25</v>
      </c>
      <c r="B26" s="8" t="s">
        <v>61</v>
      </c>
      <c r="C26" s="5" t="s">
        <v>87</v>
      </c>
      <c r="D26" s="5" t="s">
        <v>88</v>
      </c>
      <c r="E26" s="5" t="s">
        <v>89</v>
      </c>
      <c r="F26" s="5" t="s">
        <v>13</v>
      </c>
      <c r="G26" s="3" t="s">
        <v>13</v>
      </c>
      <c r="H26" s="9" t="s">
        <v>68</v>
      </c>
      <c r="I26" s="5" t="s">
        <v>13</v>
      </c>
    </row>
    <row r="27" ht="38" customHeight="1" spans="1:9" s="2" customFormat="1" x14ac:dyDescent="0.25">
      <c r="A27" s="3">
        <v>26</v>
      </c>
      <c r="B27" s="8" t="s">
        <v>61</v>
      </c>
      <c r="C27" s="5" t="s">
        <v>90</v>
      </c>
      <c r="D27" s="5" t="s">
        <v>91</v>
      </c>
      <c r="E27" s="5" t="s">
        <v>92</v>
      </c>
      <c r="F27" s="5" t="s">
        <v>13</v>
      </c>
      <c r="G27" s="3" t="s">
        <v>13</v>
      </c>
      <c r="H27" s="6" t="s">
        <v>14</v>
      </c>
      <c r="I27" s="5" t="s">
        <v>13</v>
      </c>
    </row>
    <row r="28" ht="38" customHeight="1" spans="1:9" s="2" customFormat="1" x14ac:dyDescent="0.25">
      <c r="A28" s="3">
        <v>27</v>
      </c>
      <c r="B28" s="8" t="s">
        <v>61</v>
      </c>
      <c r="C28" s="5" t="s">
        <v>93</v>
      </c>
      <c r="D28" s="5" t="s">
        <v>94</v>
      </c>
      <c r="E28" s="5" t="s">
        <v>95</v>
      </c>
      <c r="F28" s="5" t="s">
        <v>13</v>
      </c>
      <c r="G28" s="3" t="s">
        <v>13</v>
      </c>
      <c r="H28" s="7" t="s">
        <v>24</v>
      </c>
      <c r="I28" s="5" t="s">
        <v>13</v>
      </c>
    </row>
    <row r="29" ht="38" customHeight="1" spans="1:9" s="2" customFormat="1" x14ac:dyDescent="0.25">
      <c r="A29" s="3">
        <v>28</v>
      </c>
      <c r="B29" s="8" t="s">
        <v>61</v>
      </c>
      <c r="C29" s="5" t="s">
        <v>96</v>
      </c>
      <c r="D29" s="5" t="s">
        <v>97</v>
      </c>
      <c r="E29" s="5" t="s">
        <v>98</v>
      </c>
      <c r="F29" s="5" t="s">
        <v>13</v>
      </c>
      <c r="G29" s="3" t="s">
        <v>13</v>
      </c>
      <c r="H29" s="7" t="s">
        <v>24</v>
      </c>
      <c r="I29" s="5" t="s">
        <v>13</v>
      </c>
    </row>
    <row r="30" ht="38" customHeight="1" spans="1:9" s="2" customFormat="1" x14ac:dyDescent="0.25">
      <c r="A30" s="3">
        <v>29</v>
      </c>
      <c r="B30" s="8" t="s">
        <v>61</v>
      </c>
      <c r="C30" s="5" t="s">
        <v>99</v>
      </c>
      <c r="D30" s="5" t="s">
        <v>100</v>
      </c>
      <c r="E30" s="5" t="s">
        <v>101</v>
      </c>
      <c r="F30" s="5" t="s">
        <v>13</v>
      </c>
      <c r="G30" s="3" t="s">
        <v>13</v>
      </c>
      <c r="H30" s="6" t="s">
        <v>14</v>
      </c>
      <c r="I30" s="5" t="s">
        <v>13</v>
      </c>
    </row>
    <row r="31" ht="38" customHeight="1" spans="1:9" s="2" customFormat="1" x14ac:dyDescent="0.25">
      <c r="A31" s="3">
        <v>30</v>
      </c>
      <c r="B31" s="8" t="s">
        <v>61</v>
      </c>
      <c r="C31" s="5" t="s">
        <v>102</v>
      </c>
      <c r="D31" s="5" t="s">
        <v>103</v>
      </c>
      <c r="E31" s="5" t="s">
        <v>104</v>
      </c>
      <c r="F31" s="5" t="s">
        <v>13</v>
      </c>
      <c r="G31" s="3" t="s">
        <v>13</v>
      </c>
      <c r="H31" s="7" t="s">
        <v>24</v>
      </c>
      <c r="I31" s="5" t="s">
        <v>13</v>
      </c>
    </row>
    <row r="32" ht="38" customHeight="1" spans="1:9" s="2" customFormat="1" x14ac:dyDescent="0.25">
      <c r="A32" s="3">
        <v>31</v>
      </c>
      <c r="B32" s="8" t="s">
        <v>61</v>
      </c>
      <c r="C32" s="5" t="s">
        <v>105</v>
      </c>
      <c r="D32" s="5" t="s">
        <v>106</v>
      </c>
      <c r="E32" s="5" t="s">
        <v>107</v>
      </c>
      <c r="F32" s="5" t="s">
        <v>13</v>
      </c>
      <c r="G32" s="3" t="s">
        <v>13</v>
      </c>
      <c r="H32" s="7" t="s">
        <v>24</v>
      </c>
      <c r="I32" s="5" t="s">
        <v>13</v>
      </c>
    </row>
    <row r="33" ht="38" customHeight="1" spans="1:9" s="2" customFormat="1" x14ac:dyDescent="0.25">
      <c r="A33" s="3">
        <v>32</v>
      </c>
      <c r="B33" s="8" t="s">
        <v>61</v>
      </c>
      <c r="C33" s="5" t="s">
        <v>108</v>
      </c>
      <c r="D33" s="5" t="s">
        <v>109</v>
      </c>
      <c r="E33" s="5" t="s">
        <v>107</v>
      </c>
      <c r="F33" s="5" t="s">
        <v>13</v>
      </c>
      <c r="G33" s="3" t="s">
        <v>13</v>
      </c>
      <c r="H33" s="7" t="s">
        <v>24</v>
      </c>
      <c r="I33" s="5" t="s">
        <v>13</v>
      </c>
    </row>
    <row r="34" ht="38" customHeight="1" spans="1:9" s="2" customFormat="1" x14ac:dyDescent="0.25">
      <c r="A34" s="3">
        <v>33</v>
      </c>
      <c r="B34" s="8" t="s">
        <v>61</v>
      </c>
      <c r="C34" s="5" t="s">
        <v>110</v>
      </c>
      <c r="D34" s="5" t="s">
        <v>111</v>
      </c>
      <c r="E34" s="5" t="s">
        <v>112</v>
      </c>
      <c r="F34" s="5" t="s">
        <v>13</v>
      </c>
      <c r="G34" s="3" t="s">
        <v>13</v>
      </c>
      <c r="H34" s="9" t="s">
        <v>68</v>
      </c>
      <c r="I34" s="5" t="s">
        <v>13</v>
      </c>
    </row>
    <row r="35" ht="38" customHeight="1" spans="1:9" s="2" customFormat="1" x14ac:dyDescent="0.25">
      <c r="A35" s="3">
        <v>34</v>
      </c>
      <c r="B35" s="8" t="s">
        <v>61</v>
      </c>
      <c r="C35" s="5" t="s">
        <v>113</v>
      </c>
      <c r="D35" s="5" t="s">
        <v>114</v>
      </c>
      <c r="E35" s="5" t="s">
        <v>115</v>
      </c>
      <c r="F35" s="5" t="s">
        <v>13</v>
      </c>
      <c r="G35" s="3" t="s">
        <v>13</v>
      </c>
      <c r="H35" s="9" t="s">
        <v>68</v>
      </c>
      <c r="I35" s="5" t="s">
        <v>13</v>
      </c>
    </row>
    <row r="36" ht="38" customHeight="1" spans="1:9" s="2" customFormat="1" x14ac:dyDescent="0.25">
      <c r="A36" s="3">
        <v>35</v>
      </c>
      <c r="B36" s="8" t="s">
        <v>61</v>
      </c>
      <c r="C36" s="5" t="s">
        <v>116</v>
      </c>
      <c r="D36" s="5" t="s">
        <v>117</v>
      </c>
      <c r="E36" s="5" t="s">
        <v>118</v>
      </c>
      <c r="F36" s="5" t="s">
        <v>13</v>
      </c>
      <c r="G36" s="3" t="s">
        <v>13</v>
      </c>
      <c r="H36" s="9" t="s">
        <v>68</v>
      </c>
      <c r="I36" s="5" t="s">
        <v>13</v>
      </c>
    </row>
    <row r="37" ht="38" customHeight="1" spans="1:9" s="2" customFormat="1" x14ac:dyDescent="0.25">
      <c r="A37" s="3">
        <v>36</v>
      </c>
      <c r="B37" s="8" t="s">
        <v>61</v>
      </c>
      <c r="C37" s="5" t="s">
        <v>119</v>
      </c>
      <c r="D37" s="5" t="s">
        <v>120</v>
      </c>
      <c r="E37" s="5" t="s">
        <v>121</v>
      </c>
      <c r="F37" s="5" t="s">
        <v>13</v>
      </c>
      <c r="G37" s="3" t="s">
        <v>13</v>
      </c>
      <c r="H37" s="9" t="s">
        <v>68</v>
      </c>
      <c r="I37" s="5" t="s">
        <v>13</v>
      </c>
    </row>
    <row r="38" ht="38" customHeight="1" spans="1:9" s="2" customFormat="1" x14ac:dyDescent="0.25">
      <c r="A38" s="3">
        <v>37</v>
      </c>
      <c r="B38" s="8" t="s">
        <v>61</v>
      </c>
      <c r="C38" s="5" t="s">
        <v>122</v>
      </c>
      <c r="D38" s="5" t="s">
        <v>123</v>
      </c>
      <c r="E38" s="5" t="s">
        <v>124</v>
      </c>
      <c r="F38" s="5" t="s">
        <v>13</v>
      </c>
      <c r="G38" s="3" t="s">
        <v>13</v>
      </c>
      <c r="H38" s="6" t="s">
        <v>14</v>
      </c>
      <c r="I38" s="5" t="s">
        <v>13</v>
      </c>
    </row>
    <row r="39" ht="38" customHeight="1" spans="1:9" s="2" customFormat="1" x14ac:dyDescent="0.25">
      <c r="A39" s="3">
        <v>38</v>
      </c>
      <c r="B39" s="8" t="s">
        <v>61</v>
      </c>
      <c r="C39" s="5" t="s">
        <v>125</v>
      </c>
      <c r="D39" s="5" t="s">
        <v>126</v>
      </c>
      <c r="E39" s="5" t="s">
        <v>127</v>
      </c>
      <c r="F39" s="5" t="s">
        <v>13</v>
      </c>
      <c r="G39" s="3" t="s">
        <v>13</v>
      </c>
      <c r="H39" s="7" t="s">
        <v>24</v>
      </c>
      <c r="I39" s="5" t="s">
        <v>13</v>
      </c>
    </row>
    <row r="40" ht="38" customHeight="1" spans="1:9" s="2" customFormat="1" x14ac:dyDescent="0.25">
      <c r="A40" s="3">
        <v>39</v>
      </c>
      <c r="B40" s="8" t="s">
        <v>61</v>
      </c>
      <c r="C40" s="5" t="s">
        <v>128</v>
      </c>
      <c r="D40" s="5" t="s">
        <v>129</v>
      </c>
      <c r="E40" s="5" t="s">
        <v>130</v>
      </c>
      <c r="F40" s="5" t="s">
        <v>13</v>
      </c>
      <c r="G40" s="3" t="s">
        <v>13</v>
      </c>
      <c r="H40" s="7" t="s">
        <v>24</v>
      </c>
      <c r="I40" s="5" t="s">
        <v>13</v>
      </c>
    </row>
    <row r="41" ht="38" customHeight="1" spans="1:9" s="2" customFormat="1" x14ac:dyDescent="0.25">
      <c r="A41" s="3">
        <v>40</v>
      </c>
      <c r="B41" s="8" t="s">
        <v>61</v>
      </c>
      <c r="C41" s="5" t="s">
        <v>131</v>
      </c>
      <c r="D41" s="5" t="s">
        <v>132</v>
      </c>
      <c r="E41" s="5" t="s">
        <v>133</v>
      </c>
      <c r="F41" s="5" t="s">
        <v>13</v>
      </c>
      <c r="G41" s="3" t="s">
        <v>13</v>
      </c>
      <c r="H41" s="7" t="s">
        <v>24</v>
      </c>
      <c r="I41" s="5" t="s">
        <v>13</v>
      </c>
    </row>
    <row r="42" ht="38" customHeight="1" spans="1:9" s="2" customFormat="1" x14ac:dyDescent="0.25">
      <c r="A42" s="3">
        <v>41</v>
      </c>
      <c r="B42" s="8" t="s">
        <v>61</v>
      </c>
      <c r="C42" s="5" t="s">
        <v>134</v>
      </c>
      <c r="D42" s="5" t="s">
        <v>135</v>
      </c>
      <c r="E42" s="5" t="s">
        <v>136</v>
      </c>
      <c r="F42" s="5" t="s">
        <v>13</v>
      </c>
      <c r="G42" s="3" t="s">
        <v>13</v>
      </c>
      <c r="H42" s="7" t="s">
        <v>24</v>
      </c>
      <c r="I42" s="5" t="s">
        <v>13</v>
      </c>
    </row>
    <row r="43" ht="38" customHeight="1" spans="1:9" s="2" customFormat="1" x14ac:dyDescent="0.25">
      <c r="A43" s="3">
        <v>42</v>
      </c>
      <c r="B43" s="8" t="s">
        <v>61</v>
      </c>
      <c r="C43" s="5" t="s">
        <v>137</v>
      </c>
      <c r="D43" s="5" t="s">
        <v>138</v>
      </c>
      <c r="E43" s="5" t="s">
        <v>139</v>
      </c>
      <c r="F43" s="5" t="s">
        <v>13</v>
      </c>
      <c r="G43" s="3" t="s">
        <v>13</v>
      </c>
      <c r="H43" s="7" t="s">
        <v>24</v>
      </c>
      <c r="I43" s="5" t="s">
        <v>13</v>
      </c>
    </row>
    <row r="44" ht="38" customHeight="1" spans="1:9" s="2" customFormat="1" x14ac:dyDescent="0.25">
      <c r="A44" s="3">
        <v>43</v>
      </c>
      <c r="B44" s="8" t="s">
        <v>61</v>
      </c>
      <c r="C44" s="5" t="s">
        <v>140</v>
      </c>
      <c r="D44" s="5" t="s">
        <v>141</v>
      </c>
      <c r="E44" s="5" t="s">
        <v>142</v>
      </c>
      <c r="F44" s="5" t="s">
        <v>13</v>
      </c>
      <c r="G44" s="3" t="s">
        <v>13</v>
      </c>
      <c r="H44" s="9" t="s">
        <v>68</v>
      </c>
      <c r="I44" s="5" t="s">
        <v>13</v>
      </c>
    </row>
    <row r="45" ht="38" customHeight="1" spans="1:9" s="2" customFormat="1" x14ac:dyDescent="0.25">
      <c r="A45" s="3">
        <v>44</v>
      </c>
      <c r="B45" s="8" t="s">
        <v>61</v>
      </c>
      <c r="C45" s="5" t="s">
        <v>143</v>
      </c>
      <c r="D45" s="5" t="s">
        <v>144</v>
      </c>
      <c r="E45" s="5" t="s">
        <v>145</v>
      </c>
      <c r="F45" s="5" t="s">
        <v>13</v>
      </c>
      <c r="G45" s="3" t="s">
        <v>13</v>
      </c>
      <c r="H45" s="7" t="s">
        <v>24</v>
      </c>
      <c r="I45" s="5" t="s">
        <v>13</v>
      </c>
    </row>
    <row r="46" ht="38" customHeight="1" spans="1:9" s="2" customFormat="1" x14ac:dyDescent="0.25">
      <c r="A46" s="3">
        <v>45</v>
      </c>
      <c r="B46" s="8" t="s">
        <v>61</v>
      </c>
      <c r="C46" s="5" t="s">
        <v>146</v>
      </c>
      <c r="D46" s="5" t="s">
        <v>147</v>
      </c>
      <c r="E46" s="5" t="s">
        <v>148</v>
      </c>
      <c r="F46" s="5" t="s">
        <v>13</v>
      </c>
      <c r="G46" s="3" t="s">
        <v>13</v>
      </c>
      <c r="H46" s="7" t="s">
        <v>24</v>
      </c>
      <c r="I46" s="5" t="s">
        <v>13</v>
      </c>
    </row>
    <row r="47" ht="38" customHeight="1" spans="1:9" s="2" customFormat="1" x14ac:dyDescent="0.25">
      <c r="A47" s="3">
        <v>46</v>
      </c>
      <c r="B47" s="8" t="s">
        <v>61</v>
      </c>
      <c r="C47" s="5" t="s">
        <v>149</v>
      </c>
      <c r="D47" s="5" t="s">
        <v>150</v>
      </c>
      <c r="E47" s="5" t="s">
        <v>151</v>
      </c>
      <c r="F47" s="5" t="s">
        <v>13</v>
      </c>
      <c r="G47" s="3" t="s">
        <v>13</v>
      </c>
      <c r="H47" s="7" t="s">
        <v>24</v>
      </c>
      <c r="I47" s="5" t="s">
        <v>13</v>
      </c>
    </row>
    <row r="48" ht="38" customHeight="1" spans="1:9" s="2" customFormat="1" x14ac:dyDescent="0.25">
      <c r="A48" s="3">
        <v>47</v>
      </c>
      <c r="B48" s="8" t="s">
        <v>61</v>
      </c>
      <c r="C48" s="5" t="s">
        <v>152</v>
      </c>
      <c r="D48" s="5" t="s">
        <v>153</v>
      </c>
      <c r="E48" s="5" t="s">
        <v>154</v>
      </c>
      <c r="F48" s="5" t="s">
        <v>13</v>
      </c>
      <c r="G48" s="3" t="s">
        <v>13</v>
      </c>
      <c r="H48" s="9" t="s">
        <v>68</v>
      </c>
      <c r="I48" s="5" t="s">
        <v>13</v>
      </c>
    </row>
    <row r="49" ht="38" customHeight="1" spans="1:9" s="2" customFormat="1" x14ac:dyDescent="0.25">
      <c r="A49" s="3">
        <v>48</v>
      </c>
      <c r="B49" s="10" t="s">
        <v>155</v>
      </c>
      <c r="C49" s="5" t="s">
        <v>156</v>
      </c>
      <c r="D49" s="5" t="s">
        <v>157</v>
      </c>
      <c r="E49" s="5" t="s">
        <v>158</v>
      </c>
      <c r="F49" s="5" t="s">
        <v>13</v>
      </c>
      <c r="G49" s="3" t="s">
        <v>13</v>
      </c>
      <c r="H49" s="7" t="s">
        <v>24</v>
      </c>
      <c r="I49" s="5" t="s">
        <v>13</v>
      </c>
    </row>
    <row r="50" ht="38" customHeight="1" spans="1:9" s="2" customFormat="1" x14ac:dyDescent="0.25">
      <c r="A50" s="3">
        <v>49</v>
      </c>
      <c r="B50" s="10" t="s">
        <v>155</v>
      </c>
      <c r="C50" s="5" t="s">
        <v>159</v>
      </c>
      <c r="D50" s="5" t="s">
        <v>160</v>
      </c>
      <c r="E50" s="5" t="s">
        <v>161</v>
      </c>
      <c r="F50" s="5" t="s">
        <v>13</v>
      </c>
      <c r="G50" s="3" t="s">
        <v>13</v>
      </c>
      <c r="H50" s="7" t="s">
        <v>24</v>
      </c>
      <c r="I50" s="5" t="s">
        <v>13</v>
      </c>
    </row>
    <row r="51" ht="38" customHeight="1" spans="1:9" s="2" customFormat="1" x14ac:dyDescent="0.25">
      <c r="A51" s="3">
        <v>50</v>
      </c>
      <c r="B51" s="10" t="s">
        <v>155</v>
      </c>
      <c r="C51" s="5" t="s">
        <v>162</v>
      </c>
      <c r="D51" s="5" t="s">
        <v>163</v>
      </c>
      <c r="E51" s="5" t="s">
        <v>164</v>
      </c>
      <c r="F51" s="5" t="s">
        <v>13</v>
      </c>
      <c r="G51" s="3" t="s">
        <v>13</v>
      </c>
      <c r="H51" s="7" t="s">
        <v>24</v>
      </c>
      <c r="I51" s="5" t="s">
        <v>13</v>
      </c>
    </row>
    <row r="52" ht="38" customHeight="1" spans="1:9" s="2" customFormat="1" x14ac:dyDescent="0.25">
      <c r="A52" s="3">
        <v>51</v>
      </c>
      <c r="B52" s="10" t="s">
        <v>155</v>
      </c>
      <c r="C52" s="5" t="s">
        <v>165</v>
      </c>
      <c r="D52" s="5" t="s">
        <v>166</v>
      </c>
      <c r="E52" s="5" t="s">
        <v>167</v>
      </c>
      <c r="F52" s="5" t="s">
        <v>13</v>
      </c>
      <c r="G52" s="3" t="s">
        <v>13</v>
      </c>
      <c r="H52" s="7" t="s">
        <v>24</v>
      </c>
      <c r="I52" s="5" t="s">
        <v>13</v>
      </c>
    </row>
    <row r="53" ht="38" customHeight="1" spans="1:9" s="2" customFormat="1" x14ac:dyDescent="0.25">
      <c r="A53" s="3">
        <v>52</v>
      </c>
      <c r="B53" s="10" t="s">
        <v>155</v>
      </c>
      <c r="C53" s="5" t="s">
        <v>168</v>
      </c>
      <c r="D53" s="5" t="s">
        <v>169</v>
      </c>
      <c r="E53" s="5" t="s">
        <v>170</v>
      </c>
      <c r="F53" s="5" t="s">
        <v>13</v>
      </c>
      <c r="G53" s="3" t="s">
        <v>13</v>
      </c>
      <c r="H53" s="9" t="s">
        <v>68</v>
      </c>
      <c r="I53" s="5" t="s">
        <v>13</v>
      </c>
    </row>
    <row r="54" ht="38" customHeight="1" spans="1:9" s="2" customFormat="1" x14ac:dyDescent="0.25">
      <c r="A54" s="3">
        <v>53</v>
      </c>
      <c r="B54" s="10" t="s">
        <v>155</v>
      </c>
      <c r="C54" s="5" t="s">
        <v>171</v>
      </c>
      <c r="D54" s="5" t="s">
        <v>172</v>
      </c>
      <c r="E54" s="5" t="s">
        <v>173</v>
      </c>
      <c r="F54" s="5" t="s">
        <v>13</v>
      </c>
      <c r="G54" s="3" t="s">
        <v>13</v>
      </c>
      <c r="H54" s="9" t="s">
        <v>68</v>
      </c>
      <c r="I54" s="5" t="s">
        <v>13</v>
      </c>
    </row>
    <row r="55" ht="38" customHeight="1" spans="1:9" s="2" customFormat="1" x14ac:dyDescent="0.25">
      <c r="A55" s="3">
        <v>54</v>
      </c>
      <c r="B55" s="10" t="s">
        <v>155</v>
      </c>
      <c r="C55" s="5" t="s">
        <v>174</v>
      </c>
      <c r="D55" s="5" t="s">
        <v>175</v>
      </c>
      <c r="E55" s="5" t="s">
        <v>176</v>
      </c>
      <c r="F55" s="5" t="s">
        <v>13</v>
      </c>
      <c r="G55" s="3" t="s">
        <v>13</v>
      </c>
      <c r="H55" s="9" t="s">
        <v>68</v>
      </c>
      <c r="I55" s="5" t="s">
        <v>13</v>
      </c>
    </row>
    <row r="56" ht="38" customHeight="1" spans="1:9" s="2" customFormat="1" x14ac:dyDescent="0.25">
      <c r="A56" s="3">
        <v>55</v>
      </c>
      <c r="B56" s="10" t="s">
        <v>155</v>
      </c>
      <c r="C56" s="5" t="s">
        <v>177</v>
      </c>
      <c r="D56" s="5" t="s">
        <v>178</v>
      </c>
      <c r="E56" s="5" t="s">
        <v>179</v>
      </c>
      <c r="F56" s="5" t="s">
        <v>13</v>
      </c>
      <c r="G56" s="3" t="s">
        <v>13</v>
      </c>
      <c r="H56" s="7" t="s">
        <v>24</v>
      </c>
      <c r="I56" s="5" t="s">
        <v>13</v>
      </c>
    </row>
    <row r="57" ht="38" customHeight="1" spans="1:9" s="2" customFormat="1" x14ac:dyDescent="0.25">
      <c r="A57" s="3">
        <v>56</v>
      </c>
      <c r="B57" s="10" t="s">
        <v>155</v>
      </c>
      <c r="C57" s="5" t="s">
        <v>180</v>
      </c>
      <c r="D57" s="5" t="s">
        <v>181</v>
      </c>
      <c r="E57" s="5" t="s">
        <v>182</v>
      </c>
      <c r="F57" s="5" t="s">
        <v>13</v>
      </c>
      <c r="G57" s="3" t="s">
        <v>13</v>
      </c>
      <c r="H57" s="7" t="s">
        <v>24</v>
      </c>
      <c r="I57" s="5" t="s">
        <v>13</v>
      </c>
    </row>
    <row r="58" ht="38" customHeight="1" spans="1:9" s="2" customFormat="1" x14ac:dyDescent="0.25">
      <c r="A58" s="3">
        <v>57</v>
      </c>
      <c r="B58" s="10" t="s">
        <v>155</v>
      </c>
      <c r="C58" s="5" t="s">
        <v>183</v>
      </c>
      <c r="D58" s="5" t="s">
        <v>184</v>
      </c>
      <c r="E58" s="5" t="s">
        <v>185</v>
      </c>
      <c r="F58" s="5" t="s">
        <v>13</v>
      </c>
      <c r="G58" s="3" t="s">
        <v>13</v>
      </c>
      <c r="H58" s="7" t="s">
        <v>24</v>
      </c>
      <c r="I58" s="5" t="s">
        <v>13</v>
      </c>
    </row>
    <row r="59" ht="38" customHeight="1" spans="1:9" s="2" customFormat="1" x14ac:dyDescent="0.25">
      <c r="A59" s="3">
        <v>58</v>
      </c>
      <c r="B59" s="10" t="s">
        <v>155</v>
      </c>
      <c r="C59" s="5" t="s">
        <v>186</v>
      </c>
      <c r="D59" s="5" t="s">
        <v>187</v>
      </c>
      <c r="E59" s="5" t="s">
        <v>188</v>
      </c>
      <c r="F59" s="5" t="s">
        <v>13</v>
      </c>
      <c r="G59" s="3" t="s">
        <v>13</v>
      </c>
      <c r="H59" s="9" t="s">
        <v>68</v>
      </c>
      <c r="I59" s="5" t="s">
        <v>13</v>
      </c>
    </row>
    <row r="60" ht="38" customHeight="1" spans="1:9" s="2" customFormat="1" x14ac:dyDescent="0.25">
      <c r="A60" s="3">
        <v>59</v>
      </c>
      <c r="B60" s="10" t="s">
        <v>155</v>
      </c>
      <c r="C60" s="5" t="s">
        <v>189</v>
      </c>
      <c r="D60" s="5" t="s">
        <v>190</v>
      </c>
      <c r="E60" s="5" t="s">
        <v>191</v>
      </c>
      <c r="F60" s="5" t="s">
        <v>13</v>
      </c>
      <c r="G60" s="3" t="s">
        <v>13</v>
      </c>
      <c r="H60" s="6" t="s">
        <v>14</v>
      </c>
      <c r="I60" s="5" t="s">
        <v>13</v>
      </c>
    </row>
    <row r="61" ht="38" customHeight="1" spans="1:9" s="2" customFormat="1" x14ac:dyDescent="0.25">
      <c r="A61" s="3">
        <v>60</v>
      </c>
      <c r="B61" s="10" t="s">
        <v>155</v>
      </c>
      <c r="C61" s="5" t="s">
        <v>192</v>
      </c>
      <c r="D61" s="5" t="s">
        <v>193</v>
      </c>
      <c r="E61" s="5" t="s">
        <v>194</v>
      </c>
      <c r="F61" s="5" t="s">
        <v>13</v>
      </c>
      <c r="G61" s="3" t="s">
        <v>13</v>
      </c>
      <c r="H61" s="9" t="s">
        <v>68</v>
      </c>
      <c r="I61" s="5" t="s">
        <v>13</v>
      </c>
    </row>
    <row r="62" ht="38" customHeight="1" spans="1:9" s="2" customFormat="1" x14ac:dyDescent="0.25">
      <c r="A62" s="3">
        <v>61</v>
      </c>
      <c r="B62" s="10" t="s">
        <v>155</v>
      </c>
      <c r="C62" s="5" t="s">
        <v>195</v>
      </c>
      <c r="D62" s="5" t="s">
        <v>196</v>
      </c>
      <c r="E62" s="5" t="s">
        <v>197</v>
      </c>
      <c r="F62" s="5" t="s">
        <v>13</v>
      </c>
      <c r="G62" s="3" t="s">
        <v>13</v>
      </c>
      <c r="H62" s="7" t="s">
        <v>24</v>
      </c>
      <c r="I62" s="5" t="s">
        <v>13</v>
      </c>
    </row>
    <row r="63" ht="38" customHeight="1" spans="1:9" s="2" customFormat="1" x14ac:dyDescent="0.25">
      <c r="A63" s="3">
        <v>62</v>
      </c>
      <c r="B63" s="10" t="s">
        <v>155</v>
      </c>
      <c r="C63" s="5" t="s">
        <v>198</v>
      </c>
      <c r="D63" s="5" t="s">
        <v>199</v>
      </c>
      <c r="E63" s="5" t="s">
        <v>200</v>
      </c>
      <c r="F63" s="5" t="s">
        <v>13</v>
      </c>
      <c r="G63" s="3" t="s">
        <v>13</v>
      </c>
      <c r="H63" s="9" t="s">
        <v>68</v>
      </c>
      <c r="I63" s="5" t="s">
        <v>13</v>
      </c>
    </row>
    <row r="64" ht="38" customHeight="1" spans="1:9" s="2" customFormat="1" x14ac:dyDescent="0.25">
      <c r="A64" s="3">
        <v>63</v>
      </c>
      <c r="B64" s="11" t="s">
        <v>201</v>
      </c>
      <c r="C64" s="5" t="s">
        <v>202</v>
      </c>
      <c r="D64" s="5" t="s">
        <v>203</v>
      </c>
      <c r="E64" s="5" t="s">
        <v>204</v>
      </c>
      <c r="F64" s="5" t="s">
        <v>13</v>
      </c>
      <c r="G64" s="3" t="s">
        <v>13</v>
      </c>
      <c r="H64" s="7" t="s">
        <v>24</v>
      </c>
      <c r="I64" s="5" t="s">
        <v>13</v>
      </c>
    </row>
    <row r="65" ht="38" customHeight="1" spans="1:9" s="2" customFormat="1" x14ac:dyDescent="0.25">
      <c r="A65" s="3">
        <v>64</v>
      </c>
      <c r="B65" s="11" t="s">
        <v>201</v>
      </c>
      <c r="C65" s="5" t="s">
        <v>205</v>
      </c>
      <c r="D65" s="5" t="s">
        <v>206</v>
      </c>
      <c r="E65" s="5" t="s">
        <v>207</v>
      </c>
      <c r="F65" s="5" t="s">
        <v>13</v>
      </c>
      <c r="G65" s="3" t="s">
        <v>13</v>
      </c>
      <c r="H65" s="6" t="s">
        <v>14</v>
      </c>
      <c r="I65" s="5" t="s">
        <v>13</v>
      </c>
    </row>
    <row r="66" ht="38" customHeight="1" spans="1:9" s="2" customFormat="1" x14ac:dyDescent="0.25">
      <c r="A66" s="3">
        <v>65</v>
      </c>
      <c r="B66" s="11" t="s">
        <v>201</v>
      </c>
      <c r="C66" s="5" t="s">
        <v>208</v>
      </c>
      <c r="D66" s="5" t="s">
        <v>209</v>
      </c>
      <c r="E66" s="5" t="s">
        <v>210</v>
      </c>
      <c r="F66" s="5" t="s">
        <v>13</v>
      </c>
      <c r="G66" s="3" t="s">
        <v>13</v>
      </c>
      <c r="H66" s="7" t="s">
        <v>24</v>
      </c>
      <c r="I66" s="5" t="s">
        <v>13</v>
      </c>
    </row>
    <row r="67" ht="38" customHeight="1" spans="1:9" s="2" customFormat="1" x14ac:dyDescent="0.25">
      <c r="A67" s="3">
        <v>66</v>
      </c>
      <c r="B67" s="11" t="s">
        <v>201</v>
      </c>
      <c r="C67" s="5" t="s">
        <v>211</v>
      </c>
      <c r="D67" s="5" t="s">
        <v>212</v>
      </c>
      <c r="E67" s="5" t="s">
        <v>213</v>
      </c>
      <c r="F67" s="5" t="s">
        <v>13</v>
      </c>
      <c r="G67" s="3" t="s">
        <v>13</v>
      </c>
      <c r="H67" s="7" t="s">
        <v>24</v>
      </c>
      <c r="I67" s="5" t="s">
        <v>13</v>
      </c>
    </row>
    <row r="68" ht="38" customHeight="1" spans="1:9" s="2" customFormat="1" x14ac:dyDescent="0.25">
      <c r="A68" s="3">
        <v>67</v>
      </c>
      <c r="B68" s="11" t="s">
        <v>201</v>
      </c>
      <c r="C68" s="5" t="s">
        <v>214</v>
      </c>
      <c r="D68" s="5" t="s">
        <v>215</v>
      </c>
      <c r="E68" s="5" t="s">
        <v>216</v>
      </c>
      <c r="F68" s="5" t="s">
        <v>13</v>
      </c>
      <c r="G68" s="3" t="s">
        <v>13</v>
      </c>
      <c r="H68" s="6" t="s">
        <v>14</v>
      </c>
      <c r="I68" s="5" t="s">
        <v>13</v>
      </c>
    </row>
    <row r="69" ht="38" customHeight="1" spans="1:9" s="2" customFormat="1" x14ac:dyDescent="0.25">
      <c r="A69" s="3">
        <v>68</v>
      </c>
      <c r="B69" s="11" t="s">
        <v>201</v>
      </c>
      <c r="C69" s="5" t="s">
        <v>217</v>
      </c>
      <c r="D69" s="5" t="s">
        <v>218</v>
      </c>
      <c r="E69" s="5" t="s">
        <v>219</v>
      </c>
      <c r="F69" s="5" t="s">
        <v>13</v>
      </c>
      <c r="G69" s="3" t="s">
        <v>13</v>
      </c>
      <c r="H69" s="7" t="s">
        <v>24</v>
      </c>
      <c r="I69" s="5" t="s">
        <v>13</v>
      </c>
    </row>
    <row r="70" ht="38" customHeight="1" spans="1:9" s="2" customFormat="1" x14ac:dyDescent="0.25">
      <c r="A70" s="3">
        <v>69</v>
      </c>
      <c r="B70" s="11" t="s">
        <v>201</v>
      </c>
      <c r="C70" s="5" t="s">
        <v>220</v>
      </c>
      <c r="D70" s="5" t="s">
        <v>221</v>
      </c>
      <c r="E70" s="5" t="s">
        <v>222</v>
      </c>
      <c r="F70" s="5" t="s">
        <v>13</v>
      </c>
      <c r="G70" s="3" t="s">
        <v>13</v>
      </c>
      <c r="H70" s="9" t="s">
        <v>68</v>
      </c>
      <c r="I70" s="5" t="s">
        <v>13</v>
      </c>
    </row>
    <row r="71" ht="38" customHeight="1" spans="1:9" s="2" customFormat="1" x14ac:dyDescent="0.25">
      <c r="A71" s="3">
        <v>70</v>
      </c>
      <c r="B71" s="11" t="s">
        <v>201</v>
      </c>
      <c r="C71" s="5" t="s">
        <v>223</v>
      </c>
      <c r="D71" s="5" t="s">
        <v>224</v>
      </c>
      <c r="E71" s="5" t="s">
        <v>225</v>
      </c>
      <c r="F71" s="5" t="s">
        <v>13</v>
      </c>
      <c r="G71" s="3" t="s">
        <v>13</v>
      </c>
      <c r="H71" s="9" t="s">
        <v>68</v>
      </c>
      <c r="I71" s="5" t="s">
        <v>13</v>
      </c>
    </row>
    <row r="72" ht="38" customHeight="1" spans="1:9" s="2" customFormat="1" x14ac:dyDescent="0.25">
      <c r="A72" s="3">
        <v>71</v>
      </c>
      <c r="B72" s="11" t="s">
        <v>201</v>
      </c>
      <c r="C72" s="5" t="s">
        <v>226</v>
      </c>
      <c r="D72" s="5" t="s">
        <v>227</v>
      </c>
      <c r="E72" s="5" t="s">
        <v>228</v>
      </c>
      <c r="F72" s="5" t="s">
        <v>13</v>
      </c>
      <c r="G72" s="3" t="s">
        <v>13</v>
      </c>
      <c r="H72" s="7" t="s">
        <v>24</v>
      </c>
      <c r="I72" s="5" t="s">
        <v>13</v>
      </c>
    </row>
    <row r="73" ht="38" customHeight="1" spans="1:9" s="2" customFormat="1" x14ac:dyDescent="0.25">
      <c r="A73" s="3">
        <v>72</v>
      </c>
      <c r="B73" s="11" t="s">
        <v>201</v>
      </c>
      <c r="C73" s="5" t="s">
        <v>229</v>
      </c>
      <c r="D73" s="5" t="s">
        <v>230</v>
      </c>
      <c r="E73" s="5" t="s">
        <v>231</v>
      </c>
      <c r="F73" s="5" t="s">
        <v>13</v>
      </c>
      <c r="G73" s="3" t="s">
        <v>13</v>
      </c>
      <c r="H73" s="9" t="s">
        <v>68</v>
      </c>
      <c r="I73" s="5" t="s">
        <v>13</v>
      </c>
    </row>
    <row r="74" ht="38" customHeight="1" spans="1:9" s="2" customFormat="1" x14ac:dyDescent="0.25">
      <c r="A74" s="3">
        <v>73</v>
      </c>
      <c r="B74" s="11" t="s">
        <v>201</v>
      </c>
      <c r="C74" s="5" t="s">
        <v>232</v>
      </c>
      <c r="D74" s="5" t="s">
        <v>233</v>
      </c>
      <c r="E74" s="5" t="s">
        <v>234</v>
      </c>
      <c r="F74" s="5" t="s">
        <v>13</v>
      </c>
      <c r="G74" s="3" t="s">
        <v>13</v>
      </c>
      <c r="H74" s="7" t="s">
        <v>24</v>
      </c>
      <c r="I74" s="5" t="s">
        <v>13</v>
      </c>
    </row>
    <row r="75" ht="38" customHeight="1" spans="1:9" s="2" customFormat="1" x14ac:dyDescent="0.25">
      <c r="A75" s="3">
        <v>74</v>
      </c>
      <c r="B75" s="11" t="s">
        <v>201</v>
      </c>
      <c r="C75" s="5" t="s">
        <v>235</v>
      </c>
      <c r="D75" s="5" t="s">
        <v>236</v>
      </c>
      <c r="E75" s="5" t="s">
        <v>237</v>
      </c>
      <c r="F75" s="5" t="s">
        <v>13</v>
      </c>
      <c r="G75" s="3" t="s">
        <v>13</v>
      </c>
      <c r="H75" s="9" t="s">
        <v>68</v>
      </c>
      <c r="I75" s="5" t="s">
        <v>13</v>
      </c>
    </row>
    <row r="76" ht="38" customHeight="1" spans="1:9" s="2" customFormat="1" x14ac:dyDescent="0.25">
      <c r="A76" s="3">
        <v>75</v>
      </c>
      <c r="B76" s="12" t="s">
        <v>238</v>
      </c>
      <c r="C76" s="5" t="s">
        <v>239</v>
      </c>
      <c r="D76" s="5" t="s">
        <v>240</v>
      </c>
      <c r="E76" s="5" t="s">
        <v>241</v>
      </c>
      <c r="F76" s="5" t="s">
        <v>13</v>
      </c>
      <c r="G76" s="3" t="s">
        <v>13</v>
      </c>
      <c r="H76" s="9" t="s">
        <v>68</v>
      </c>
      <c r="I76" s="5" t="s">
        <v>13</v>
      </c>
    </row>
    <row r="77" ht="38" customHeight="1" spans="1:9" s="2" customFormat="1" x14ac:dyDescent="0.25">
      <c r="A77" s="3">
        <v>76</v>
      </c>
      <c r="B77" s="12" t="s">
        <v>238</v>
      </c>
      <c r="C77" s="5" t="s">
        <v>242</v>
      </c>
      <c r="D77" s="5" t="s">
        <v>243</v>
      </c>
      <c r="E77" s="5" t="s">
        <v>244</v>
      </c>
      <c r="F77" s="5" t="s">
        <v>13</v>
      </c>
      <c r="G77" s="3" t="s">
        <v>13</v>
      </c>
      <c r="H77" s="9" t="s">
        <v>68</v>
      </c>
      <c r="I77" s="5" t="s">
        <v>13</v>
      </c>
    </row>
    <row r="78" ht="38" customHeight="1" spans="1:9" s="2" customFormat="1" x14ac:dyDescent="0.25">
      <c r="A78" s="3">
        <v>77</v>
      </c>
      <c r="B78" s="12" t="s">
        <v>238</v>
      </c>
      <c r="C78" s="5" t="s">
        <v>245</v>
      </c>
      <c r="D78" s="5" t="s">
        <v>246</v>
      </c>
      <c r="E78" s="5" t="s">
        <v>247</v>
      </c>
      <c r="F78" s="5" t="s">
        <v>13</v>
      </c>
      <c r="G78" s="3" t="s">
        <v>13</v>
      </c>
      <c r="H78" s="6" t="s">
        <v>14</v>
      </c>
      <c r="I78" s="5" t="s">
        <v>13</v>
      </c>
    </row>
    <row r="79" ht="38" customHeight="1" spans="1:9" s="2" customFormat="1" x14ac:dyDescent="0.25">
      <c r="A79" s="3">
        <v>78</v>
      </c>
      <c r="B79" s="12" t="s">
        <v>238</v>
      </c>
      <c r="C79" s="5" t="s">
        <v>248</v>
      </c>
      <c r="D79" s="5" t="s">
        <v>249</v>
      </c>
      <c r="E79" s="5" t="s">
        <v>250</v>
      </c>
      <c r="F79" s="5" t="s">
        <v>13</v>
      </c>
      <c r="G79" s="3" t="s">
        <v>13</v>
      </c>
      <c r="H79" s="9" t="s">
        <v>68</v>
      </c>
      <c r="I79" s="5" t="s">
        <v>13</v>
      </c>
    </row>
    <row r="80" ht="38" customHeight="1" spans="1:9" s="2" customFormat="1" x14ac:dyDescent="0.25">
      <c r="A80" s="3">
        <v>79</v>
      </c>
      <c r="B80" s="12" t="s">
        <v>238</v>
      </c>
      <c r="C80" s="5" t="s">
        <v>251</v>
      </c>
      <c r="D80" s="5" t="s">
        <v>252</v>
      </c>
      <c r="E80" s="5" t="s">
        <v>253</v>
      </c>
      <c r="F80" s="5" t="s">
        <v>13</v>
      </c>
      <c r="G80" s="3" t="s">
        <v>13</v>
      </c>
      <c r="H80" s="7" t="s">
        <v>24</v>
      </c>
      <c r="I80" s="5" t="s">
        <v>13</v>
      </c>
    </row>
    <row r="81" ht="38" customHeight="1" spans="1:9" s="2" customFormat="1" x14ac:dyDescent="0.25">
      <c r="A81" s="3">
        <v>80</v>
      </c>
      <c r="B81" s="12" t="s">
        <v>238</v>
      </c>
      <c r="C81" s="5" t="s">
        <v>254</v>
      </c>
      <c r="D81" s="5" t="s">
        <v>255</v>
      </c>
      <c r="E81" s="5" t="s">
        <v>256</v>
      </c>
      <c r="F81" s="5" t="s">
        <v>13</v>
      </c>
      <c r="G81" s="3" t="s">
        <v>13</v>
      </c>
      <c r="H81" s="7" t="s">
        <v>24</v>
      </c>
      <c r="I81" s="5" t="s">
        <v>13</v>
      </c>
    </row>
    <row r="82" ht="38" customHeight="1" spans="1:9" s="2" customFormat="1" x14ac:dyDescent="0.25">
      <c r="A82" s="3">
        <v>81</v>
      </c>
      <c r="B82" s="12" t="s">
        <v>238</v>
      </c>
      <c r="C82" s="5" t="s">
        <v>257</v>
      </c>
      <c r="D82" s="5" t="s">
        <v>258</v>
      </c>
      <c r="E82" s="5" t="s">
        <v>259</v>
      </c>
      <c r="F82" s="5" t="s">
        <v>13</v>
      </c>
      <c r="G82" s="3" t="s">
        <v>13</v>
      </c>
      <c r="H82" s="7" t="s">
        <v>24</v>
      </c>
      <c r="I82" s="5" t="s">
        <v>13</v>
      </c>
    </row>
    <row r="83" ht="38" customHeight="1" spans="1:9" s="2" customFormat="1" x14ac:dyDescent="0.25">
      <c r="A83" s="3">
        <v>82</v>
      </c>
      <c r="B83" s="12" t="s">
        <v>238</v>
      </c>
      <c r="C83" s="5" t="s">
        <v>260</v>
      </c>
      <c r="D83" s="5" t="s">
        <v>261</v>
      </c>
      <c r="E83" s="5" t="s">
        <v>262</v>
      </c>
      <c r="F83" s="5" t="s">
        <v>13</v>
      </c>
      <c r="G83" s="3" t="s">
        <v>13</v>
      </c>
      <c r="H83" s="7" t="s">
        <v>24</v>
      </c>
      <c r="I83" s="5" t="s">
        <v>13</v>
      </c>
    </row>
    <row r="84" ht="38" customHeight="1" spans="1:9" s="2" customFormat="1" x14ac:dyDescent="0.25">
      <c r="A84" s="3">
        <v>83</v>
      </c>
      <c r="B84" s="12" t="s">
        <v>238</v>
      </c>
      <c r="C84" s="5" t="s">
        <v>263</v>
      </c>
      <c r="D84" s="5" t="s">
        <v>264</v>
      </c>
      <c r="E84" s="5" t="s">
        <v>265</v>
      </c>
      <c r="F84" s="5" t="s">
        <v>13</v>
      </c>
      <c r="G84" s="3" t="s">
        <v>13</v>
      </c>
      <c r="H84" s="9" t="s">
        <v>68</v>
      </c>
      <c r="I84" s="5" t="s">
        <v>13</v>
      </c>
    </row>
    <row r="85" ht="38" customHeight="1" spans="1:9" s="2" customFormat="1" x14ac:dyDescent="0.25">
      <c r="A85" s="3">
        <v>84</v>
      </c>
      <c r="B85" s="12" t="s">
        <v>238</v>
      </c>
      <c r="C85" s="5" t="s">
        <v>266</v>
      </c>
      <c r="D85" s="5" t="s">
        <v>267</v>
      </c>
      <c r="E85" s="5" t="s">
        <v>268</v>
      </c>
      <c r="F85" s="5" t="s">
        <v>13</v>
      </c>
      <c r="G85" s="3" t="s">
        <v>13</v>
      </c>
      <c r="H85" s="9" t="s">
        <v>68</v>
      </c>
      <c r="I85" s="5" t="s">
        <v>13</v>
      </c>
    </row>
    <row r="86" ht="38" customHeight="1" spans="1:9" s="2" customFormat="1" x14ac:dyDescent="0.25">
      <c r="A86" s="3">
        <v>85</v>
      </c>
      <c r="B86" s="12" t="s">
        <v>238</v>
      </c>
      <c r="C86" s="5" t="s">
        <v>269</v>
      </c>
      <c r="D86" s="5" t="s">
        <v>270</v>
      </c>
      <c r="E86" s="5" t="s">
        <v>271</v>
      </c>
      <c r="F86" s="5" t="s">
        <v>13</v>
      </c>
      <c r="G86" s="3" t="s">
        <v>13</v>
      </c>
      <c r="H86" s="7" t="s">
        <v>24</v>
      </c>
      <c r="I86" s="5" t="s">
        <v>13</v>
      </c>
    </row>
    <row r="87" ht="38" customHeight="1" spans="1:9" s="2" customFormat="1" x14ac:dyDescent="0.25">
      <c r="A87" s="3">
        <v>86</v>
      </c>
      <c r="B87" s="12" t="s">
        <v>238</v>
      </c>
      <c r="C87" s="5" t="s">
        <v>272</v>
      </c>
      <c r="D87" s="5" t="s">
        <v>273</v>
      </c>
      <c r="E87" s="5" t="s">
        <v>274</v>
      </c>
      <c r="F87" s="5" t="s">
        <v>13</v>
      </c>
      <c r="G87" s="3" t="s">
        <v>13</v>
      </c>
      <c r="H87" s="6" t="s">
        <v>14</v>
      </c>
      <c r="I87" s="5" t="s">
        <v>13</v>
      </c>
    </row>
    <row r="88" ht="38" customHeight="1" spans="1:9" s="2" customFormat="1" x14ac:dyDescent="0.25">
      <c r="A88" s="3">
        <v>87</v>
      </c>
      <c r="B88" s="12" t="s">
        <v>238</v>
      </c>
      <c r="C88" s="5" t="s">
        <v>275</v>
      </c>
      <c r="D88" s="5" t="s">
        <v>276</v>
      </c>
      <c r="E88" s="5" t="s">
        <v>277</v>
      </c>
      <c r="F88" s="5" t="s">
        <v>13</v>
      </c>
      <c r="G88" s="3" t="s">
        <v>13</v>
      </c>
      <c r="H88" s="7" t="s">
        <v>24</v>
      </c>
      <c r="I88" s="5" t="s">
        <v>13</v>
      </c>
    </row>
    <row r="89" ht="38" customHeight="1" spans="1:9" s="2" customFormat="1" x14ac:dyDescent="0.25">
      <c r="A89" s="3">
        <v>88</v>
      </c>
      <c r="B89" s="12" t="s">
        <v>238</v>
      </c>
      <c r="C89" s="5" t="s">
        <v>278</v>
      </c>
      <c r="D89" s="5" t="s">
        <v>279</v>
      </c>
      <c r="E89" s="5" t="s">
        <v>280</v>
      </c>
      <c r="F89" s="5" t="s">
        <v>13</v>
      </c>
      <c r="G89" s="3" t="s">
        <v>13</v>
      </c>
      <c r="H89" s="6" t="s">
        <v>14</v>
      </c>
      <c r="I89" s="5" t="s">
        <v>13</v>
      </c>
    </row>
    <row r="90" ht="38" customHeight="1" spans="1:9" s="2" customFormat="1" x14ac:dyDescent="0.25">
      <c r="A90" s="3">
        <v>89</v>
      </c>
      <c r="B90" s="12" t="s">
        <v>238</v>
      </c>
      <c r="C90" s="5" t="s">
        <v>281</v>
      </c>
      <c r="D90" s="5" t="s">
        <v>282</v>
      </c>
      <c r="E90" s="5" t="s">
        <v>283</v>
      </c>
      <c r="F90" s="5" t="s">
        <v>13</v>
      </c>
      <c r="G90" s="3" t="s">
        <v>13</v>
      </c>
      <c r="H90" s="6" t="s">
        <v>14</v>
      </c>
      <c r="I90" s="5" t="s">
        <v>13</v>
      </c>
    </row>
    <row r="91" ht="38" customHeight="1" spans="1:9" s="2" customFormat="1" x14ac:dyDescent="0.25">
      <c r="A91" s="3">
        <v>90</v>
      </c>
      <c r="B91" s="12" t="s">
        <v>238</v>
      </c>
      <c r="C91" s="5" t="s">
        <v>284</v>
      </c>
      <c r="D91" s="5" t="s">
        <v>285</v>
      </c>
      <c r="E91" s="5" t="s">
        <v>286</v>
      </c>
      <c r="F91" s="5" t="s">
        <v>13</v>
      </c>
      <c r="G91" s="3" t="s">
        <v>13</v>
      </c>
      <c r="H91" s="7" t="s">
        <v>24</v>
      </c>
      <c r="I91" s="5" t="s">
        <v>13</v>
      </c>
    </row>
    <row r="92" ht="38" customHeight="1" spans="1:9" s="2" customFormat="1" x14ac:dyDescent="0.25">
      <c r="A92" s="3">
        <v>91</v>
      </c>
      <c r="B92" s="12" t="s">
        <v>238</v>
      </c>
      <c r="C92" s="5" t="s">
        <v>287</v>
      </c>
      <c r="D92" s="5" t="s">
        <v>288</v>
      </c>
      <c r="E92" s="5" t="s">
        <v>289</v>
      </c>
      <c r="F92" s="5" t="s">
        <v>13</v>
      </c>
      <c r="G92" s="3" t="s">
        <v>13</v>
      </c>
      <c r="H92" s="7" t="s">
        <v>24</v>
      </c>
      <c r="I92" s="5" t="s">
        <v>13</v>
      </c>
    </row>
    <row r="93" ht="38" customHeight="1" spans="1:9" s="2" customFormat="1" x14ac:dyDescent="0.25">
      <c r="A93" s="3">
        <v>92</v>
      </c>
      <c r="B93" s="12" t="s">
        <v>238</v>
      </c>
      <c r="C93" s="5" t="s">
        <v>290</v>
      </c>
      <c r="D93" s="5" t="s">
        <v>291</v>
      </c>
      <c r="E93" s="5" t="s">
        <v>292</v>
      </c>
      <c r="F93" s="5" t="s">
        <v>13</v>
      </c>
      <c r="G93" s="3" t="s">
        <v>13</v>
      </c>
      <c r="H93" s="9" t="s">
        <v>68</v>
      </c>
      <c r="I93" s="5" t="s">
        <v>13</v>
      </c>
    </row>
    <row r="94" ht="38" customHeight="1" spans="1:9" s="2" customFormat="1" x14ac:dyDescent="0.25">
      <c r="A94" s="3">
        <v>93</v>
      </c>
      <c r="B94" s="12" t="s">
        <v>238</v>
      </c>
      <c r="C94" s="5" t="s">
        <v>293</v>
      </c>
      <c r="D94" s="5" t="s">
        <v>294</v>
      </c>
      <c r="E94" s="5" t="s">
        <v>295</v>
      </c>
      <c r="F94" s="5" t="s">
        <v>13</v>
      </c>
      <c r="G94" s="3" t="s">
        <v>13</v>
      </c>
      <c r="H94" s="7" t="s">
        <v>24</v>
      </c>
      <c r="I94" s="5" t="s">
        <v>13</v>
      </c>
    </row>
    <row r="95" ht="38" customHeight="1" spans="1:9" s="2" customFormat="1" x14ac:dyDescent="0.25">
      <c r="A95" s="3">
        <v>94</v>
      </c>
      <c r="B95" s="12" t="s">
        <v>238</v>
      </c>
      <c r="C95" s="5" t="s">
        <v>296</v>
      </c>
      <c r="D95" s="5" t="s">
        <v>297</v>
      </c>
      <c r="E95" s="5" t="s">
        <v>298</v>
      </c>
      <c r="F95" s="5" t="s">
        <v>13</v>
      </c>
      <c r="G95" s="3" t="s">
        <v>13</v>
      </c>
      <c r="H95" s="6" t="s">
        <v>14</v>
      </c>
      <c r="I95" s="5" t="s">
        <v>13</v>
      </c>
    </row>
    <row r="96" ht="38" customHeight="1" spans="1:9" s="2" customFormat="1" x14ac:dyDescent="0.25">
      <c r="A96" s="3">
        <v>95</v>
      </c>
      <c r="B96" s="12" t="s">
        <v>238</v>
      </c>
      <c r="C96" s="5" t="s">
        <v>299</v>
      </c>
      <c r="D96" s="5" t="s">
        <v>300</v>
      </c>
      <c r="E96" s="5" t="s">
        <v>301</v>
      </c>
      <c r="F96" s="5" t="s">
        <v>13</v>
      </c>
      <c r="G96" s="3" t="s">
        <v>13</v>
      </c>
      <c r="H96" s="9" t="s">
        <v>68</v>
      </c>
      <c r="I96" s="5" t="s">
        <v>13</v>
      </c>
    </row>
    <row r="97" ht="38" customHeight="1" spans="1:9" s="2" customFormat="1" x14ac:dyDescent="0.25">
      <c r="A97" s="3">
        <v>96</v>
      </c>
      <c r="B97" s="12" t="s">
        <v>238</v>
      </c>
      <c r="C97" s="5" t="s">
        <v>302</v>
      </c>
      <c r="D97" s="5" t="s">
        <v>303</v>
      </c>
      <c r="E97" s="5" t="s">
        <v>304</v>
      </c>
      <c r="F97" s="5" t="s">
        <v>13</v>
      </c>
      <c r="G97" s="3" t="s">
        <v>13</v>
      </c>
      <c r="H97" s="7" t="s">
        <v>24</v>
      </c>
      <c r="I97" s="5" t="s">
        <v>13</v>
      </c>
    </row>
    <row r="98" ht="38" customHeight="1" spans="1:9" s="2" customFormat="1" x14ac:dyDescent="0.25">
      <c r="A98" s="3">
        <v>97</v>
      </c>
      <c r="B98" s="12" t="s">
        <v>238</v>
      </c>
      <c r="C98" s="5" t="s">
        <v>305</v>
      </c>
      <c r="D98" s="5" t="s">
        <v>306</v>
      </c>
      <c r="E98" s="5" t="s">
        <v>127</v>
      </c>
      <c r="F98" s="5" t="s">
        <v>13</v>
      </c>
      <c r="G98" s="3" t="s">
        <v>13</v>
      </c>
      <c r="H98" s="7" t="s">
        <v>24</v>
      </c>
      <c r="I98" s="5" t="s">
        <v>13</v>
      </c>
    </row>
    <row r="99" ht="38" customHeight="1" spans="1:9" s="2" customFormat="1" x14ac:dyDescent="0.25">
      <c r="A99" s="3">
        <v>98</v>
      </c>
      <c r="B99" s="12" t="s">
        <v>238</v>
      </c>
      <c r="C99" s="5" t="s">
        <v>307</v>
      </c>
      <c r="D99" s="5" t="s">
        <v>308</v>
      </c>
      <c r="E99" s="5" t="s">
        <v>309</v>
      </c>
      <c r="F99" s="5" t="s">
        <v>13</v>
      </c>
      <c r="G99" s="3" t="s">
        <v>13</v>
      </c>
      <c r="H99" s="6" t="s">
        <v>14</v>
      </c>
      <c r="I99" s="5" t="s">
        <v>13</v>
      </c>
    </row>
    <row r="100" ht="38" customHeight="1" spans="1:9" s="2" customFormat="1" x14ac:dyDescent="0.25">
      <c r="A100" s="3">
        <v>99</v>
      </c>
      <c r="B100" s="12" t="s">
        <v>238</v>
      </c>
      <c r="C100" s="5" t="s">
        <v>310</v>
      </c>
      <c r="D100" s="5" t="s">
        <v>311</v>
      </c>
      <c r="E100" s="5" t="s">
        <v>312</v>
      </c>
      <c r="F100" s="5" t="s">
        <v>13</v>
      </c>
      <c r="G100" s="3" t="s">
        <v>13</v>
      </c>
      <c r="H100" s="7" t="s">
        <v>24</v>
      </c>
      <c r="I100" s="5" t="s">
        <v>13</v>
      </c>
    </row>
    <row r="101" ht="38" customHeight="1" spans="1:9" s="2" customFormat="1" x14ac:dyDescent="0.25">
      <c r="A101" s="3">
        <v>100</v>
      </c>
      <c r="B101" s="12" t="s">
        <v>238</v>
      </c>
      <c r="C101" s="5" t="s">
        <v>313</v>
      </c>
      <c r="D101" s="5" t="s">
        <v>314</v>
      </c>
      <c r="E101" s="5" t="s">
        <v>315</v>
      </c>
      <c r="F101" s="5" t="s">
        <v>13</v>
      </c>
      <c r="G101" s="3" t="s">
        <v>13</v>
      </c>
      <c r="H101" s="6" t="s">
        <v>14</v>
      </c>
      <c r="I101" s="5" t="s">
        <v>13</v>
      </c>
    </row>
    <row r="102" ht="38" customHeight="1" spans="1:9" s="2" customFormat="1" x14ac:dyDescent="0.25">
      <c r="A102" s="3">
        <v>101</v>
      </c>
      <c r="B102" s="12" t="s">
        <v>238</v>
      </c>
      <c r="C102" s="5" t="s">
        <v>316</v>
      </c>
      <c r="D102" s="5" t="s">
        <v>317</v>
      </c>
      <c r="E102" s="5" t="s">
        <v>318</v>
      </c>
      <c r="F102" s="5" t="s">
        <v>13</v>
      </c>
      <c r="G102" s="3" t="s">
        <v>13</v>
      </c>
      <c r="H102" s="7" t="s">
        <v>24</v>
      </c>
      <c r="I102" s="5" t="s">
        <v>13</v>
      </c>
    </row>
    <row r="103" ht="38" customHeight="1" spans="1:9" s="2" customFormat="1" x14ac:dyDescent="0.25">
      <c r="A103" s="3">
        <v>102</v>
      </c>
      <c r="B103" s="13" t="s">
        <v>319</v>
      </c>
      <c r="C103" s="5" t="s">
        <v>320</v>
      </c>
      <c r="D103" s="5" t="s">
        <v>321</v>
      </c>
      <c r="E103" s="5" t="s">
        <v>322</v>
      </c>
      <c r="F103" s="5" t="s">
        <v>13</v>
      </c>
      <c r="G103" s="3" t="s">
        <v>13</v>
      </c>
      <c r="H103" s="7" t="s">
        <v>24</v>
      </c>
      <c r="I103" s="5" t="s">
        <v>13</v>
      </c>
    </row>
    <row r="104" ht="38" customHeight="1" spans="1:9" s="2" customFormat="1" x14ac:dyDescent="0.25">
      <c r="A104" s="3">
        <v>103</v>
      </c>
      <c r="B104" s="13" t="s">
        <v>319</v>
      </c>
      <c r="C104" s="5" t="s">
        <v>323</v>
      </c>
      <c r="D104" s="5" t="s">
        <v>324</v>
      </c>
      <c r="E104" s="5" t="s">
        <v>325</v>
      </c>
      <c r="F104" s="5" t="s">
        <v>13</v>
      </c>
      <c r="G104" s="3" t="s">
        <v>13</v>
      </c>
      <c r="H104" s="7" t="s">
        <v>24</v>
      </c>
      <c r="I104" s="5" t="s">
        <v>13</v>
      </c>
    </row>
    <row r="105" ht="38" customHeight="1" spans="1:9" s="2" customFormat="1" x14ac:dyDescent="0.25">
      <c r="A105" s="3">
        <v>104</v>
      </c>
      <c r="B105" s="13" t="s">
        <v>319</v>
      </c>
      <c r="C105" s="5" t="s">
        <v>326</v>
      </c>
      <c r="D105" s="5" t="s">
        <v>327</v>
      </c>
      <c r="E105" s="5" t="s">
        <v>328</v>
      </c>
      <c r="F105" s="5" t="s">
        <v>13</v>
      </c>
      <c r="G105" s="3" t="s">
        <v>13</v>
      </c>
      <c r="H105" s="7" t="s">
        <v>24</v>
      </c>
      <c r="I105" s="5" t="s">
        <v>13</v>
      </c>
    </row>
    <row r="106" ht="38" customHeight="1" spans="1:9" s="2" customFormat="1" x14ac:dyDescent="0.25">
      <c r="A106" s="3">
        <v>105</v>
      </c>
      <c r="B106" s="13" t="s">
        <v>319</v>
      </c>
      <c r="C106" s="5" t="s">
        <v>329</v>
      </c>
      <c r="D106" s="5" t="s">
        <v>330</v>
      </c>
      <c r="E106" s="5" t="s">
        <v>331</v>
      </c>
      <c r="F106" s="5" t="s">
        <v>13</v>
      </c>
      <c r="G106" s="3" t="s">
        <v>13</v>
      </c>
      <c r="H106" s="9" t="s">
        <v>68</v>
      </c>
      <c r="I106" s="5" t="s">
        <v>13</v>
      </c>
    </row>
    <row r="107" ht="38" customHeight="1" spans="1:9" s="2" customFormat="1" x14ac:dyDescent="0.25">
      <c r="A107" s="3">
        <v>106</v>
      </c>
      <c r="B107" s="13" t="s">
        <v>319</v>
      </c>
      <c r="C107" s="5" t="s">
        <v>332</v>
      </c>
      <c r="D107" s="5" t="s">
        <v>333</v>
      </c>
      <c r="E107" s="5" t="s">
        <v>334</v>
      </c>
      <c r="F107" s="5" t="s">
        <v>13</v>
      </c>
      <c r="G107" s="3" t="s">
        <v>13</v>
      </c>
      <c r="H107" s="7" t="s">
        <v>24</v>
      </c>
      <c r="I107" s="5" t="s">
        <v>13</v>
      </c>
    </row>
    <row r="108" ht="38" customHeight="1" spans="1:9" s="2" customFormat="1" x14ac:dyDescent="0.25">
      <c r="A108" s="3">
        <v>107</v>
      </c>
      <c r="B108" s="13" t="s">
        <v>319</v>
      </c>
      <c r="C108" s="5" t="s">
        <v>335</v>
      </c>
      <c r="D108" s="5" t="s">
        <v>336</v>
      </c>
      <c r="E108" s="5" t="s">
        <v>337</v>
      </c>
      <c r="F108" s="5" t="s">
        <v>13</v>
      </c>
      <c r="G108" s="3" t="s">
        <v>13</v>
      </c>
      <c r="H108" s="9" t="s">
        <v>68</v>
      </c>
      <c r="I108" s="5" t="s">
        <v>13</v>
      </c>
    </row>
    <row r="109" ht="38" customHeight="1" spans="1:9" s="2" customFormat="1" x14ac:dyDescent="0.25">
      <c r="A109" s="3">
        <v>108</v>
      </c>
      <c r="B109" s="13" t="s">
        <v>319</v>
      </c>
      <c r="C109" s="5" t="s">
        <v>338</v>
      </c>
      <c r="D109" s="5" t="s">
        <v>339</v>
      </c>
      <c r="E109" s="5" t="s">
        <v>340</v>
      </c>
      <c r="F109" s="5" t="s">
        <v>13</v>
      </c>
      <c r="G109" s="3" t="s">
        <v>13</v>
      </c>
      <c r="H109" s="9" t="s">
        <v>68</v>
      </c>
      <c r="I109" s="5" t="s">
        <v>13</v>
      </c>
    </row>
    <row r="110" ht="38" customHeight="1" spans="1:9" s="2" customFormat="1" x14ac:dyDescent="0.25">
      <c r="A110" s="3">
        <v>109</v>
      </c>
      <c r="B110" s="13" t="s">
        <v>319</v>
      </c>
      <c r="C110" s="5" t="s">
        <v>341</v>
      </c>
      <c r="D110" s="5" t="s">
        <v>342</v>
      </c>
      <c r="E110" s="5" t="s">
        <v>343</v>
      </c>
      <c r="F110" s="5" t="s">
        <v>13</v>
      </c>
      <c r="G110" s="3" t="s">
        <v>13</v>
      </c>
      <c r="H110" s="9" t="s">
        <v>68</v>
      </c>
      <c r="I110" s="5" t="s">
        <v>13</v>
      </c>
    </row>
    <row r="111" ht="38" customHeight="1" spans="1:9" s="2" customFormat="1" x14ac:dyDescent="0.25">
      <c r="A111" s="3">
        <v>110</v>
      </c>
      <c r="B111" s="13" t="s">
        <v>319</v>
      </c>
      <c r="C111" s="5" t="s">
        <v>344</v>
      </c>
      <c r="D111" s="5" t="s">
        <v>345</v>
      </c>
      <c r="E111" s="5" t="s">
        <v>346</v>
      </c>
      <c r="F111" s="5" t="s">
        <v>13</v>
      </c>
      <c r="G111" s="3" t="s">
        <v>13</v>
      </c>
      <c r="H111" s="9" t="s">
        <v>68</v>
      </c>
      <c r="I111" s="5" t="s">
        <v>13</v>
      </c>
    </row>
    <row r="112" ht="38" customHeight="1" spans="1:9" s="2" customFormat="1" x14ac:dyDescent="0.25">
      <c r="A112" s="3">
        <v>111</v>
      </c>
      <c r="B112" s="13" t="s">
        <v>319</v>
      </c>
      <c r="C112" s="5" t="s">
        <v>347</v>
      </c>
      <c r="D112" s="5" t="s">
        <v>348</v>
      </c>
      <c r="E112" s="5" t="s">
        <v>349</v>
      </c>
      <c r="F112" s="5" t="s">
        <v>13</v>
      </c>
      <c r="G112" s="3" t="s">
        <v>13</v>
      </c>
      <c r="H112" s="7" t="s">
        <v>24</v>
      </c>
      <c r="I112" s="5" t="s">
        <v>13</v>
      </c>
    </row>
    <row r="113" ht="38" customHeight="1" spans="1:9" s="2" customFormat="1" x14ac:dyDescent="0.25">
      <c r="A113" s="3">
        <v>112</v>
      </c>
      <c r="B113" s="13" t="s">
        <v>319</v>
      </c>
      <c r="C113" s="5" t="s">
        <v>350</v>
      </c>
      <c r="D113" s="5" t="s">
        <v>351</v>
      </c>
      <c r="E113" s="5" t="s">
        <v>352</v>
      </c>
      <c r="F113" s="5" t="s">
        <v>13</v>
      </c>
      <c r="G113" s="3" t="s">
        <v>13</v>
      </c>
      <c r="H113" s="7" t="s">
        <v>24</v>
      </c>
      <c r="I113" s="5" t="s">
        <v>13</v>
      </c>
    </row>
    <row r="114" ht="38" customHeight="1" spans="1:9" s="2" customFormat="1" x14ac:dyDescent="0.25">
      <c r="A114" s="3">
        <v>113</v>
      </c>
      <c r="B114" s="13" t="s">
        <v>319</v>
      </c>
      <c r="C114" s="5" t="s">
        <v>353</v>
      </c>
      <c r="D114" s="5" t="s">
        <v>354</v>
      </c>
      <c r="E114" s="5" t="s">
        <v>355</v>
      </c>
      <c r="F114" s="5" t="s">
        <v>13</v>
      </c>
      <c r="G114" s="3" t="s">
        <v>13</v>
      </c>
      <c r="H114" s="9" t="s">
        <v>68</v>
      </c>
      <c r="I114" s="5" t="s">
        <v>13</v>
      </c>
    </row>
    <row r="115" ht="38" customHeight="1" spans="1:9" s="2" customFormat="1" x14ac:dyDescent="0.25">
      <c r="A115" s="3">
        <v>114</v>
      </c>
      <c r="B115" s="13" t="s">
        <v>319</v>
      </c>
      <c r="C115" s="5" t="s">
        <v>356</v>
      </c>
      <c r="D115" s="5" t="s">
        <v>357</v>
      </c>
      <c r="E115" s="5" t="s">
        <v>358</v>
      </c>
      <c r="F115" s="5" t="s">
        <v>13</v>
      </c>
      <c r="G115" s="3" t="s">
        <v>13</v>
      </c>
      <c r="H115" s="7" t="s">
        <v>24</v>
      </c>
      <c r="I115" s="5" t="s">
        <v>13</v>
      </c>
    </row>
  </sheetData>
  <autoFilter ref="A1:I1"/>
  <conditionalFormatting sqref="G2:G115">
    <cfRule type="containsText" dxfId="0" priority="1">
      <formula>NOT(ISERROR(SEARCH("PASA",G2)))</formula>
    </cfRule>
    <cfRule type="containsText" dxfId="1" priority="2">
      <formula>NOT(ISERROR(SEARCH("FALLA",G2)))</formula>
    </cfRule>
    <cfRule type="containsText" dxfId="2" priority="3">
      <formula>NOT(ISERROR(SEARCH("BLOQUEADO",G2)))</formula>
    </cfRule>
    <cfRule type="containsText" dxfId="3" priority="4">
      <formula>NOT(ISERROR(SEARCH("PENDIENTE",G2)))</formula>
    </cfRule>
  </conditionalFormatting>
  <dataValidations count="2">
    <dataValidation type="list" allowBlank="1" showErrorMessage="1" errorTitle="Estado inválido" error="Use solo: PASA, FALLA, BLOQUEADO o PENDIENTE" sqref="G10:G115">
      <formula1>"PASA,FALLA,BLOQUEADO,PENDIENTE"</formula1>
    </dataValidation>
    <dataValidation type="list" allowBlank="1" showErrorMessage="1" errorTitle="Estado inválido" error="Use solo: PASA, FALLA, BLOQUEADO o PENDIENTE" sqref="G2:G115">
      <formula1>"PASA,FALLA,BLOQUEADO,PENDIENTE"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G8"/>
  <sheetFormatPr defaultRowHeight="15" outlineLevelRow="0" outlineLevelCol="0" x14ac:dyDescent="55"/>
  <cols>
    <col min="1" max="1" width="35" customWidth="1"/>
    <col min="2" max="4" width="12" customWidth="1"/>
    <col min="5" max="6" width="14" customWidth="1"/>
    <col min="7" max="7" width="12" customWidth="1"/>
  </cols>
  <sheetData>
    <row r="1" ht="28" customHeight="1" spans="1:7" x14ac:dyDescent="0.25">
      <c r="A1" s="14" t="s">
        <v>1</v>
      </c>
      <c r="B1" s="14" t="s">
        <v>359</v>
      </c>
      <c r="C1" s="14" t="s">
        <v>360</v>
      </c>
      <c r="D1" s="14" t="s">
        <v>361</v>
      </c>
      <c r="E1" s="14" t="s">
        <v>362</v>
      </c>
      <c r="F1" s="14" t="s">
        <v>363</v>
      </c>
      <c r="G1" s="14" t="s">
        <v>364</v>
      </c>
    </row>
    <row r="2" ht="22" customHeight="1" spans="1:7" s="15" customFormat="1" x14ac:dyDescent="0.25">
      <c r="A2" s="16" t="s">
        <v>365</v>
      </c>
      <c r="B2" s="15">
        <f>COUNTIF(Pruebas!B:B,"1")</f>
      </c>
      <c r="C2" s="15">
        <f>COUNTIFS(Pruebas!B:B,"1",Pruebas!G:G,"PASA")</f>
      </c>
      <c r="D2" s="15">
        <f>COUNTIFS(Pruebas!B:B,"1",Pruebas!G:G,"FALLA")</f>
      </c>
      <c r="E2" s="15">
        <f>COUNTIFS(Pruebas!B:B,"1",Pruebas!G:G,"BLOQUEADO")</f>
      </c>
      <c r="F2" s="15">
        <f>COUNTIFS(Pruebas!B:B,"1",Pruebas!G:G,"PENDIENTE")+COUNTIFS(Pruebas!B:B,"1",Pruebas!G:G,"")</f>
      </c>
      <c r="G2" s="17">
        <f>IFERROR((COUNTIFS(Pruebas!B:B,"1",Pruebas!G:G,"PASA")+COUNTIFS(Pruebas!B:B,"1",Pruebas!G:G,"FALLA")+COUNTIFS(Pruebas!B:B,"1",Pruebas!G:G,"BLOQUEADO"))/COUNTIF(Pruebas!B:B,"1"),0)</f>
      </c>
    </row>
    <row r="3" ht="22" customHeight="1" spans="1:7" s="15" customFormat="1" x14ac:dyDescent="0.25">
      <c r="A3" s="16" t="s">
        <v>366</v>
      </c>
      <c r="B3" s="15">
        <f>COUNTIF(Pruebas!B:B,"2")</f>
      </c>
      <c r="C3" s="15">
        <f>COUNTIFS(Pruebas!B:B,"2",Pruebas!G:G,"PASA")</f>
      </c>
      <c r="D3" s="15">
        <f>COUNTIFS(Pruebas!B:B,"2",Pruebas!G:G,"FALLA")</f>
      </c>
      <c r="E3" s="15">
        <f>COUNTIFS(Pruebas!B:B,"2",Pruebas!G:G,"BLOQUEADO")</f>
      </c>
      <c r="F3" s="15">
        <f>COUNTIFS(Pruebas!B:B,"2",Pruebas!G:G,"PENDIENTE")+COUNTIFS(Pruebas!B:B,"2",Pruebas!G:G,"")</f>
      </c>
      <c r="G3" s="17">
        <f>IFERROR((COUNTIFS(Pruebas!B:B,"2",Pruebas!G:G,"PASA")+COUNTIFS(Pruebas!B:B,"2",Pruebas!G:G,"FALLA")+COUNTIFS(Pruebas!B:B,"2",Pruebas!G:G,"BLOQUEADO"))/COUNTIF(Pruebas!B:B,"2"),0)</f>
      </c>
    </row>
    <row r="4" ht="22" customHeight="1" spans="1:7" s="15" customFormat="1" x14ac:dyDescent="0.25">
      <c r="A4" s="16" t="s">
        <v>367</v>
      </c>
      <c r="B4" s="15">
        <f>COUNTIF(Pruebas!B:B,"3")</f>
      </c>
      <c r="C4" s="15">
        <f>COUNTIFS(Pruebas!B:B,"3",Pruebas!G:G,"PASA")</f>
      </c>
      <c r="D4" s="15">
        <f>COUNTIFS(Pruebas!B:B,"3",Pruebas!G:G,"FALLA")</f>
      </c>
      <c r="E4" s="15">
        <f>COUNTIFS(Pruebas!B:B,"3",Pruebas!G:G,"BLOQUEADO")</f>
      </c>
      <c r="F4" s="15">
        <f>COUNTIFS(Pruebas!B:B,"3",Pruebas!G:G,"PENDIENTE")+COUNTIFS(Pruebas!B:B,"3",Pruebas!G:G,"")</f>
      </c>
      <c r="G4" s="17">
        <f>IFERROR((COUNTIFS(Pruebas!B:B,"3",Pruebas!G:G,"PASA")+COUNTIFS(Pruebas!B:B,"3",Pruebas!G:G,"FALLA")+COUNTIFS(Pruebas!B:B,"3",Pruebas!G:G,"BLOQUEADO"))/COUNTIF(Pruebas!B:B,"3"),0)</f>
      </c>
    </row>
    <row r="5" ht="22" customHeight="1" spans="1:7" s="15" customFormat="1" x14ac:dyDescent="0.25">
      <c r="A5" s="16" t="s">
        <v>368</v>
      </c>
      <c r="B5" s="15">
        <f>COUNTIF(Pruebas!B:B,"4")</f>
      </c>
      <c r="C5" s="15">
        <f>COUNTIFS(Pruebas!B:B,"4",Pruebas!G:G,"PASA")</f>
      </c>
      <c r="D5" s="15">
        <f>COUNTIFS(Pruebas!B:B,"4",Pruebas!G:G,"FALLA")</f>
      </c>
      <c r="E5" s="15">
        <f>COUNTIFS(Pruebas!B:B,"4",Pruebas!G:G,"BLOQUEADO")</f>
      </c>
      <c r="F5" s="15">
        <f>COUNTIFS(Pruebas!B:B,"4",Pruebas!G:G,"PENDIENTE")+COUNTIFS(Pruebas!B:B,"4",Pruebas!G:G,"")</f>
      </c>
      <c r="G5" s="17">
        <f>IFERROR((COUNTIFS(Pruebas!B:B,"4",Pruebas!G:G,"PASA")+COUNTIFS(Pruebas!B:B,"4",Pruebas!G:G,"FALLA")+COUNTIFS(Pruebas!B:B,"4",Pruebas!G:G,"BLOQUEADO"))/COUNTIF(Pruebas!B:B,"4"),0)</f>
      </c>
    </row>
    <row r="6" ht="22" customHeight="1" spans="1:7" s="15" customFormat="1" x14ac:dyDescent="0.25">
      <c r="A6" s="16" t="s">
        <v>369</v>
      </c>
      <c r="B6" s="15">
        <f>COUNTIF(Pruebas!B:B,"5")</f>
      </c>
      <c r="C6" s="15">
        <f>COUNTIFS(Pruebas!B:B,"5",Pruebas!G:G,"PASA")</f>
      </c>
      <c r="D6" s="15">
        <f>COUNTIFS(Pruebas!B:B,"5",Pruebas!G:G,"FALLA")</f>
      </c>
      <c r="E6" s="15">
        <f>COUNTIFS(Pruebas!B:B,"5",Pruebas!G:G,"BLOQUEADO")</f>
      </c>
      <c r="F6" s="15">
        <f>COUNTIFS(Pruebas!B:B,"5",Pruebas!G:G,"PENDIENTE")+COUNTIFS(Pruebas!B:B,"5",Pruebas!G:G,"")</f>
      </c>
      <c r="G6" s="17">
        <f>IFERROR((COUNTIFS(Pruebas!B:B,"5",Pruebas!G:G,"PASA")+COUNTIFS(Pruebas!B:B,"5",Pruebas!G:G,"FALLA")+COUNTIFS(Pruebas!B:B,"5",Pruebas!G:G,"BLOQUEADO"))/COUNTIF(Pruebas!B:B,"5"),0)</f>
      </c>
    </row>
    <row r="7" ht="22" customHeight="1" spans="1:7" s="15" customFormat="1" x14ac:dyDescent="0.25">
      <c r="A7" s="16" t="s">
        <v>370</v>
      </c>
      <c r="B7" s="15">
        <f>COUNTIF(Pruebas!B:B,"6")</f>
      </c>
      <c r="C7" s="15">
        <f>COUNTIFS(Pruebas!B:B,"6",Pruebas!G:G,"PASA")</f>
      </c>
      <c r="D7" s="15">
        <f>COUNTIFS(Pruebas!B:B,"6",Pruebas!G:G,"FALLA")</f>
      </c>
      <c r="E7" s="15">
        <f>COUNTIFS(Pruebas!B:B,"6",Pruebas!G:G,"BLOQUEADO")</f>
      </c>
      <c r="F7" s="15">
        <f>COUNTIFS(Pruebas!B:B,"6",Pruebas!G:G,"PENDIENTE")+COUNTIFS(Pruebas!B:B,"6",Pruebas!G:G,"")</f>
      </c>
      <c r="G7" s="17">
        <f>IFERROR((COUNTIFS(Pruebas!B:B,"6",Pruebas!G:G,"PASA")+COUNTIFS(Pruebas!B:B,"6",Pruebas!G:G,"FALLA")+COUNTIFS(Pruebas!B:B,"6",Pruebas!G:G,"BLOQUEADO"))/COUNTIF(Pruebas!B:B,"6"),0)</f>
      </c>
    </row>
    <row r="8" ht="26" customHeight="1" spans="1:7" x14ac:dyDescent="0.25">
      <c r="A8" s="18" t="s">
        <v>371</v>
      </c>
      <c r="B8" s="18">
        <f>SUM(B2:B7)</f>
      </c>
      <c r="C8" s="18">
        <f>SUM(C2:C7)</f>
      </c>
      <c r="D8" s="18">
        <f>SUM(D2:D7)</f>
      </c>
      <c r="E8" s="18">
        <f>SUM(E2:E7)</f>
      </c>
      <c r="F8" s="18">
        <f>SUM(F2:F7)</f>
      </c>
      <c r="G8" s="19">
        <f>IFERROR((C8+D8+E8)/B8,0)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31"/>
  <sheetFormatPr defaultRowHeight="15" outlineLevelRow="0" outlineLevelCol="0" x14ac:dyDescent="55"/>
  <cols>
    <col min="1" max="1" width="5" customWidth="1"/>
    <col min="2" max="2" width="30" customWidth="1"/>
    <col min="3" max="3" width="60" customWidth="1"/>
    <col min="4" max="4" width="50" customWidth="1"/>
    <col min="5" max="6" width="14" customWidth="1"/>
    <col min="7" max="7" width="20" customWidth="1"/>
    <col min="8" max="8" width="14" customWidth="1"/>
  </cols>
  <sheetData>
    <row r="1" ht="28" customHeight="1" spans="1:8" x14ac:dyDescent="0.25">
      <c r="A1" s="20" t="s">
        <v>0</v>
      </c>
      <c r="B1" s="20" t="s">
        <v>372</v>
      </c>
      <c r="C1" s="20" t="s">
        <v>373</v>
      </c>
      <c r="D1" s="20" t="s">
        <v>374</v>
      </c>
      <c r="E1" s="20" t="s">
        <v>7</v>
      </c>
      <c r="F1" s="20" t="s">
        <v>6</v>
      </c>
      <c r="G1" s="20" t="s">
        <v>375</v>
      </c>
      <c r="H1" s="20" t="s">
        <v>376</v>
      </c>
    </row>
    <row r="2" ht="30" customHeight="1" spans="1:8" s="2" customFormat="1" x14ac:dyDescent="0.25">
      <c r="A2" s="21">
        <v>1</v>
      </c>
      <c r="B2" s="21" t="s">
        <v>13</v>
      </c>
      <c r="C2" s="21" t="s">
        <v>13</v>
      </c>
      <c r="D2" s="21" t="s">
        <v>13</v>
      </c>
      <c r="E2" s="21" t="s">
        <v>13</v>
      </c>
      <c r="F2" s="21" t="s">
        <v>13</v>
      </c>
      <c r="G2" s="21" t="s">
        <v>13</v>
      </c>
      <c r="H2" s="21" t="s">
        <v>13</v>
      </c>
    </row>
    <row r="3" ht="30" customHeight="1" spans="1:8" s="2" customFormat="1" x14ac:dyDescent="0.25">
      <c r="A3" s="21">
        <v>2</v>
      </c>
      <c r="B3" s="21" t="s">
        <v>13</v>
      </c>
      <c r="C3" s="21" t="s">
        <v>13</v>
      </c>
      <c r="D3" s="21" t="s">
        <v>13</v>
      </c>
      <c r="E3" s="21" t="s">
        <v>13</v>
      </c>
      <c r="F3" s="21" t="s">
        <v>13</v>
      </c>
      <c r="G3" s="21" t="s">
        <v>13</v>
      </c>
      <c r="H3" s="21" t="s">
        <v>13</v>
      </c>
    </row>
    <row r="4" ht="30" customHeight="1" spans="1:8" s="2" customFormat="1" x14ac:dyDescent="0.25">
      <c r="A4" s="21">
        <v>3</v>
      </c>
      <c r="B4" s="21" t="s">
        <v>13</v>
      </c>
      <c r="C4" s="21" t="s">
        <v>13</v>
      </c>
      <c r="D4" s="21" t="s">
        <v>13</v>
      </c>
      <c r="E4" s="21" t="s">
        <v>13</v>
      </c>
      <c r="F4" s="21" t="s">
        <v>13</v>
      </c>
      <c r="G4" s="21" t="s">
        <v>13</v>
      </c>
      <c r="H4" s="21" t="s">
        <v>13</v>
      </c>
    </row>
    <row r="5" ht="30" customHeight="1" spans="1:8" s="2" customFormat="1" x14ac:dyDescent="0.25">
      <c r="A5" s="21">
        <v>4</v>
      </c>
      <c r="B5" s="21" t="s">
        <v>13</v>
      </c>
      <c r="C5" s="21" t="s">
        <v>13</v>
      </c>
      <c r="D5" s="21" t="s">
        <v>13</v>
      </c>
      <c r="E5" s="21" t="s">
        <v>13</v>
      </c>
      <c r="F5" s="21" t="s">
        <v>13</v>
      </c>
      <c r="G5" s="21" t="s">
        <v>13</v>
      </c>
      <c r="H5" s="21" t="s">
        <v>13</v>
      </c>
    </row>
    <row r="6" ht="30" customHeight="1" spans="1:8" s="2" customFormat="1" x14ac:dyDescent="0.25">
      <c r="A6" s="21">
        <v>5</v>
      </c>
      <c r="B6" s="21" t="s">
        <v>13</v>
      </c>
      <c r="C6" s="21" t="s">
        <v>13</v>
      </c>
      <c r="D6" s="21" t="s">
        <v>13</v>
      </c>
      <c r="E6" s="21" t="s">
        <v>13</v>
      </c>
      <c r="F6" s="21" t="s">
        <v>13</v>
      </c>
      <c r="G6" s="21" t="s">
        <v>13</v>
      </c>
      <c r="H6" s="21" t="s">
        <v>13</v>
      </c>
    </row>
    <row r="7" ht="30" customHeight="1" spans="1:8" s="2" customFormat="1" x14ac:dyDescent="0.25">
      <c r="A7" s="21">
        <v>6</v>
      </c>
      <c r="B7" s="21" t="s">
        <v>13</v>
      </c>
      <c r="C7" s="21" t="s">
        <v>13</v>
      </c>
      <c r="D7" s="21" t="s">
        <v>13</v>
      </c>
      <c r="E7" s="21" t="s">
        <v>13</v>
      </c>
      <c r="F7" s="21" t="s">
        <v>13</v>
      </c>
      <c r="G7" s="21" t="s">
        <v>13</v>
      </c>
      <c r="H7" s="21" t="s">
        <v>13</v>
      </c>
    </row>
    <row r="8" ht="30" customHeight="1" spans="1:8" s="2" customFormat="1" x14ac:dyDescent="0.25">
      <c r="A8" s="21">
        <v>7</v>
      </c>
      <c r="B8" s="21" t="s">
        <v>13</v>
      </c>
      <c r="C8" s="21" t="s">
        <v>13</v>
      </c>
      <c r="D8" s="21" t="s">
        <v>13</v>
      </c>
      <c r="E8" s="21" t="s">
        <v>13</v>
      </c>
      <c r="F8" s="21" t="s">
        <v>13</v>
      </c>
      <c r="G8" s="21" t="s">
        <v>13</v>
      </c>
      <c r="H8" s="21" t="s">
        <v>13</v>
      </c>
    </row>
    <row r="9" ht="30" customHeight="1" spans="1:8" s="2" customFormat="1" x14ac:dyDescent="0.25">
      <c r="A9" s="21">
        <v>8</v>
      </c>
      <c r="B9" s="21" t="s">
        <v>13</v>
      </c>
      <c r="C9" s="21" t="s">
        <v>13</v>
      </c>
      <c r="D9" s="21" t="s">
        <v>13</v>
      </c>
      <c r="E9" s="21" t="s">
        <v>13</v>
      </c>
      <c r="F9" s="21" t="s">
        <v>13</v>
      </c>
      <c r="G9" s="21" t="s">
        <v>13</v>
      </c>
      <c r="H9" s="21" t="s">
        <v>13</v>
      </c>
    </row>
    <row r="10" ht="30" customHeight="1" spans="1:8" s="2" customFormat="1" x14ac:dyDescent="0.25">
      <c r="A10" s="21">
        <v>9</v>
      </c>
      <c r="B10" s="21" t="s">
        <v>13</v>
      </c>
      <c r="C10" s="21" t="s">
        <v>13</v>
      </c>
      <c r="D10" s="21" t="s">
        <v>13</v>
      </c>
      <c r="E10" s="21" t="s">
        <v>13</v>
      </c>
      <c r="F10" s="21" t="s">
        <v>13</v>
      </c>
      <c r="G10" s="21" t="s">
        <v>13</v>
      </c>
      <c r="H10" s="21" t="s">
        <v>13</v>
      </c>
    </row>
    <row r="11" ht="30" customHeight="1" spans="1:8" s="2" customFormat="1" x14ac:dyDescent="0.25">
      <c r="A11" s="21">
        <v>10</v>
      </c>
      <c r="B11" s="21" t="s">
        <v>13</v>
      </c>
      <c r="C11" s="21" t="s">
        <v>13</v>
      </c>
      <c r="D11" s="21" t="s">
        <v>13</v>
      </c>
      <c r="E11" s="21" t="s">
        <v>13</v>
      </c>
      <c r="F11" s="21" t="s">
        <v>13</v>
      </c>
      <c r="G11" s="21" t="s">
        <v>13</v>
      </c>
      <c r="H11" s="21" t="s">
        <v>13</v>
      </c>
    </row>
    <row r="12" ht="30" customHeight="1" spans="1:8" s="2" customFormat="1" x14ac:dyDescent="0.25">
      <c r="A12" s="21">
        <v>11</v>
      </c>
      <c r="B12" s="21" t="s">
        <v>13</v>
      </c>
      <c r="C12" s="21" t="s">
        <v>13</v>
      </c>
      <c r="D12" s="21" t="s">
        <v>13</v>
      </c>
      <c r="E12" s="21" t="s">
        <v>13</v>
      </c>
      <c r="F12" s="21" t="s">
        <v>13</v>
      </c>
      <c r="G12" s="21" t="s">
        <v>13</v>
      </c>
      <c r="H12" s="21" t="s">
        <v>13</v>
      </c>
    </row>
    <row r="13" ht="30" customHeight="1" spans="1:8" s="2" customFormat="1" x14ac:dyDescent="0.25">
      <c r="A13" s="21">
        <v>12</v>
      </c>
      <c r="B13" s="21" t="s">
        <v>13</v>
      </c>
      <c r="C13" s="21" t="s">
        <v>13</v>
      </c>
      <c r="D13" s="21" t="s">
        <v>13</v>
      </c>
      <c r="E13" s="21" t="s">
        <v>13</v>
      </c>
      <c r="F13" s="21" t="s">
        <v>13</v>
      </c>
      <c r="G13" s="21" t="s">
        <v>13</v>
      </c>
      <c r="H13" s="21" t="s">
        <v>13</v>
      </c>
    </row>
    <row r="14" ht="30" customHeight="1" spans="1:8" s="2" customFormat="1" x14ac:dyDescent="0.25">
      <c r="A14" s="21">
        <v>13</v>
      </c>
      <c r="B14" s="21" t="s">
        <v>13</v>
      </c>
      <c r="C14" s="21" t="s">
        <v>13</v>
      </c>
      <c r="D14" s="21" t="s">
        <v>13</v>
      </c>
      <c r="E14" s="21" t="s">
        <v>13</v>
      </c>
      <c r="F14" s="21" t="s">
        <v>13</v>
      </c>
      <c r="G14" s="21" t="s">
        <v>13</v>
      </c>
      <c r="H14" s="21" t="s">
        <v>13</v>
      </c>
    </row>
    <row r="15" ht="30" customHeight="1" spans="1:8" s="2" customFormat="1" x14ac:dyDescent="0.25">
      <c r="A15" s="21">
        <v>14</v>
      </c>
      <c r="B15" s="21" t="s">
        <v>13</v>
      </c>
      <c r="C15" s="21" t="s">
        <v>13</v>
      </c>
      <c r="D15" s="21" t="s">
        <v>13</v>
      </c>
      <c r="E15" s="21" t="s">
        <v>13</v>
      </c>
      <c r="F15" s="21" t="s">
        <v>13</v>
      </c>
      <c r="G15" s="21" t="s">
        <v>13</v>
      </c>
      <c r="H15" s="21" t="s">
        <v>13</v>
      </c>
    </row>
    <row r="16" ht="30" customHeight="1" spans="1:8" s="2" customFormat="1" x14ac:dyDescent="0.25">
      <c r="A16" s="21">
        <v>15</v>
      </c>
      <c r="B16" s="21" t="s">
        <v>13</v>
      </c>
      <c r="C16" s="21" t="s">
        <v>13</v>
      </c>
      <c r="D16" s="21" t="s">
        <v>13</v>
      </c>
      <c r="E16" s="21" t="s">
        <v>13</v>
      </c>
      <c r="F16" s="21" t="s">
        <v>13</v>
      </c>
      <c r="G16" s="21" t="s">
        <v>13</v>
      </c>
      <c r="H16" s="21" t="s">
        <v>13</v>
      </c>
    </row>
    <row r="17" ht="30" customHeight="1" spans="1:8" s="2" customFormat="1" x14ac:dyDescent="0.25">
      <c r="A17" s="21">
        <v>16</v>
      </c>
      <c r="B17" s="21" t="s">
        <v>13</v>
      </c>
      <c r="C17" s="21" t="s">
        <v>13</v>
      </c>
      <c r="D17" s="21" t="s">
        <v>13</v>
      </c>
      <c r="E17" s="21" t="s">
        <v>13</v>
      </c>
      <c r="F17" s="21" t="s">
        <v>13</v>
      </c>
      <c r="G17" s="21" t="s">
        <v>13</v>
      </c>
      <c r="H17" s="21" t="s">
        <v>13</v>
      </c>
    </row>
    <row r="18" ht="30" customHeight="1" spans="1:8" s="2" customFormat="1" x14ac:dyDescent="0.25">
      <c r="A18" s="21">
        <v>17</v>
      </c>
      <c r="B18" s="21" t="s">
        <v>13</v>
      </c>
      <c r="C18" s="21" t="s">
        <v>13</v>
      </c>
      <c r="D18" s="21" t="s">
        <v>13</v>
      </c>
      <c r="E18" s="21" t="s">
        <v>13</v>
      </c>
      <c r="F18" s="21" t="s">
        <v>13</v>
      </c>
      <c r="G18" s="21" t="s">
        <v>13</v>
      </c>
      <c r="H18" s="21" t="s">
        <v>13</v>
      </c>
    </row>
    <row r="19" ht="30" customHeight="1" spans="1:8" s="2" customFormat="1" x14ac:dyDescent="0.25">
      <c r="A19" s="21">
        <v>18</v>
      </c>
      <c r="B19" s="21" t="s">
        <v>13</v>
      </c>
      <c r="C19" s="21" t="s">
        <v>13</v>
      </c>
      <c r="D19" s="21" t="s">
        <v>13</v>
      </c>
      <c r="E19" s="21" t="s">
        <v>13</v>
      </c>
      <c r="F19" s="21" t="s">
        <v>13</v>
      </c>
      <c r="G19" s="21" t="s">
        <v>13</v>
      </c>
      <c r="H19" s="21" t="s">
        <v>13</v>
      </c>
    </row>
    <row r="20" ht="30" customHeight="1" spans="1:8" s="2" customFormat="1" x14ac:dyDescent="0.25">
      <c r="A20" s="21">
        <v>19</v>
      </c>
      <c r="B20" s="21" t="s">
        <v>13</v>
      </c>
      <c r="C20" s="21" t="s">
        <v>13</v>
      </c>
      <c r="D20" s="21" t="s">
        <v>13</v>
      </c>
      <c r="E20" s="21" t="s">
        <v>13</v>
      </c>
      <c r="F20" s="21" t="s">
        <v>13</v>
      </c>
      <c r="G20" s="21" t="s">
        <v>13</v>
      </c>
      <c r="H20" s="21" t="s">
        <v>13</v>
      </c>
    </row>
    <row r="21" ht="30" customHeight="1" spans="1:8" s="2" customFormat="1" x14ac:dyDescent="0.25">
      <c r="A21" s="21">
        <v>20</v>
      </c>
      <c r="B21" s="21" t="s">
        <v>13</v>
      </c>
      <c r="C21" s="21" t="s">
        <v>13</v>
      </c>
      <c r="D21" s="21" t="s">
        <v>13</v>
      </c>
      <c r="E21" s="21" t="s">
        <v>13</v>
      </c>
      <c r="F21" s="21" t="s">
        <v>13</v>
      </c>
      <c r="G21" s="21" t="s">
        <v>13</v>
      </c>
      <c r="H21" s="21" t="s">
        <v>13</v>
      </c>
    </row>
    <row r="22" ht="30" customHeight="1" spans="1:8" s="2" customFormat="1" x14ac:dyDescent="0.25">
      <c r="A22" s="21">
        <v>21</v>
      </c>
      <c r="B22" s="21" t="s">
        <v>13</v>
      </c>
      <c r="C22" s="21" t="s">
        <v>13</v>
      </c>
      <c r="D22" s="21" t="s">
        <v>13</v>
      </c>
      <c r="E22" s="21" t="s">
        <v>13</v>
      </c>
      <c r="F22" s="21" t="s">
        <v>13</v>
      </c>
      <c r="G22" s="21" t="s">
        <v>13</v>
      </c>
      <c r="H22" s="21" t="s">
        <v>13</v>
      </c>
    </row>
    <row r="23" ht="30" customHeight="1" spans="1:8" s="2" customFormat="1" x14ac:dyDescent="0.25">
      <c r="A23" s="21">
        <v>22</v>
      </c>
      <c r="B23" s="21" t="s">
        <v>13</v>
      </c>
      <c r="C23" s="21" t="s">
        <v>13</v>
      </c>
      <c r="D23" s="21" t="s">
        <v>13</v>
      </c>
      <c r="E23" s="21" t="s">
        <v>13</v>
      </c>
      <c r="F23" s="21" t="s">
        <v>13</v>
      </c>
      <c r="G23" s="21" t="s">
        <v>13</v>
      </c>
      <c r="H23" s="21" t="s">
        <v>13</v>
      </c>
    </row>
    <row r="24" ht="30" customHeight="1" spans="1:8" s="2" customFormat="1" x14ac:dyDescent="0.25">
      <c r="A24" s="21">
        <v>23</v>
      </c>
      <c r="B24" s="21" t="s">
        <v>13</v>
      </c>
      <c r="C24" s="21" t="s">
        <v>13</v>
      </c>
      <c r="D24" s="21" t="s">
        <v>13</v>
      </c>
      <c r="E24" s="21" t="s">
        <v>13</v>
      </c>
      <c r="F24" s="21" t="s">
        <v>13</v>
      </c>
      <c r="G24" s="21" t="s">
        <v>13</v>
      </c>
      <c r="H24" s="21" t="s">
        <v>13</v>
      </c>
    </row>
    <row r="25" ht="30" customHeight="1" spans="1:8" s="2" customFormat="1" x14ac:dyDescent="0.25">
      <c r="A25" s="21">
        <v>24</v>
      </c>
      <c r="B25" s="21" t="s">
        <v>13</v>
      </c>
      <c r="C25" s="21" t="s">
        <v>13</v>
      </c>
      <c r="D25" s="21" t="s">
        <v>13</v>
      </c>
      <c r="E25" s="21" t="s">
        <v>13</v>
      </c>
      <c r="F25" s="21" t="s">
        <v>13</v>
      </c>
      <c r="G25" s="21" t="s">
        <v>13</v>
      </c>
      <c r="H25" s="21" t="s">
        <v>13</v>
      </c>
    </row>
    <row r="26" ht="30" customHeight="1" spans="1:8" s="2" customFormat="1" x14ac:dyDescent="0.25">
      <c r="A26" s="21">
        <v>25</v>
      </c>
      <c r="B26" s="21" t="s">
        <v>13</v>
      </c>
      <c r="C26" s="21" t="s">
        <v>13</v>
      </c>
      <c r="D26" s="21" t="s">
        <v>13</v>
      </c>
      <c r="E26" s="21" t="s">
        <v>13</v>
      </c>
      <c r="F26" s="21" t="s">
        <v>13</v>
      </c>
      <c r="G26" s="21" t="s">
        <v>13</v>
      </c>
      <c r="H26" s="21" t="s">
        <v>13</v>
      </c>
    </row>
    <row r="27" ht="30" customHeight="1" spans="1:8" s="2" customFormat="1" x14ac:dyDescent="0.25">
      <c r="A27" s="21">
        <v>26</v>
      </c>
      <c r="B27" s="21" t="s">
        <v>13</v>
      </c>
      <c r="C27" s="21" t="s">
        <v>13</v>
      </c>
      <c r="D27" s="21" t="s">
        <v>13</v>
      </c>
      <c r="E27" s="21" t="s">
        <v>13</v>
      </c>
      <c r="F27" s="21" t="s">
        <v>13</v>
      </c>
      <c r="G27" s="21" t="s">
        <v>13</v>
      </c>
      <c r="H27" s="21" t="s">
        <v>13</v>
      </c>
    </row>
    <row r="28" ht="30" customHeight="1" spans="1:8" s="2" customFormat="1" x14ac:dyDescent="0.25">
      <c r="A28" s="21">
        <v>27</v>
      </c>
      <c r="B28" s="21" t="s">
        <v>13</v>
      </c>
      <c r="C28" s="21" t="s">
        <v>13</v>
      </c>
      <c r="D28" s="21" t="s">
        <v>13</v>
      </c>
      <c r="E28" s="21" t="s">
        <v>13</v>
      </c>
      <c r="F28" s="21" t="s">
        <v>13</v>
      </c>
      <c r="G28" s="21" t="s">
        <v>13</v>
      </c>
      <c r="H28" s="21" t="s">
        <v>13</v>
      </c>
    </row>
    <row r="29" ht="30" customHeight="1" spans="1:8" s="2" customFormat="1" x14ac:dyDescent="0.25">
      <c r="A29" s="21">
        <v>28</v>
      </c>
      <c r="B29" s="21" t="s">
        <v>13</v>
      </c>
      <c r="C29" s="21" t="s">
        <v>13</v>
      </c>
      <c r="D29" s="21" t="s">
        <v>13</v>
      </c>
      <c r="E29" s="21" t="s">
        <v>13</v>
      </c>
      <c r="F29" s="21" t="s">
        <v>13</v>
      </c>
      <c r="G29" s="21" t="s">
        <v>13</v>
      </c>
      <c r="H29" s="21" t="s">
        <v>13</v>
      </c>
    </row>
    <row r="30" ht="30" customHeight="1" spans="1:8" s="2" customFormat="1" x14ac:dyDescent="0.25">
      <c r="A30" s="21">
        <v>29</v>
      </c>
      <c r="B30" s="21" t="s">
        <v>13</v>
      </c>
      <c r="C30" s="21" t="s">
        <v>13</v>
      </c>
      <c r="D30" s="21" t="s">
        <v>13</v>
      </c>
      <c r="E30" s="21" t="s">
        <v>13</v>
      </c>
      <c r="F30" s="21" t="s">
        <v>13</v>
      </c>
      <c r="G30" s="21" t="s">
        <v>13</v>
      </c>
      <c r="H30" s="21" t="s">
        <v>13</v>
      </c>
    </row>
    <row r="31" ht="30" customHeight="1" spans="1:8" s="2" customFormat="1" x14ac:dyDescent="0.25">
      <c r="A31" s="21">
        <v>30</v>
      </c>
      <c r="B31" s="21" t="s">
        <v>13</v>
      </c>
      <c r="C31" s="21" t="s">
        <v>13</v>
      </c>
      <c r="D31" s="21" t="s">
        <v>13</v>
      </c>
      <c r="E31" s="21" t="s">
        <v>13</v>
      </c>
      <c r="F31" s="21" t="s">
        <v>13</v>
      </c>
      <c r="G31" s="21" t="s">
        <v>13</v>
      </c>
      <c r="H31" s="21" t="s">
        <v>13</v>
      </c>
    </row>
  </sheetData>
  <autoFilter ref="A1:H1"/>
  <dataValidations count="4">
    <dataValidation type="list" allowBlank="1" sqref="E10:E31">
      <formula1>"🔴 Crítico,🟡 Alto,🟢 Medio,⚪ Bajo"</formula1>
    </dataValidation>
    <dataValidation type="list" allowBlank="1" sqref="E2:E31">
      <formula1>"🔴 Crítico,🟡 Alto,🟢 Medio,⚪ Bajo"</formula1>
    </dataValidation>
    <dataValidation type="list" allowBlank="1" sqref="F10:F31">
      <formula1>"ABIERTO,EN PROGRESO,RESUELTO,DESCARTADO"</formula1>
    </dataValidation>
    <dataValidation type="list" allowBlank="1" sqref="F2:F31">
      <formula1>"ABIERTO,EN PROGRESO,RESUELTO,DESCARTADO"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C10"/>
  <sheetFormatPr defaultRowHeight="15" outlineLevelRow="0" outlineLevelCol="0" x14ac:dyDescent="55"/>
  <cols>
    <col min="1" max="1" width="5" customWidth="1"/>
    <col min="2" max="2" width="80" customWidth="1"/>
    <col min="3" max="3" width="10" customWidth="1"/>
  </cols>
  <sheetData>
    <row r="1" ht="28" customHeight="1" spans="1:3" x14ac:dyDescent="0.25">
      <c r="A1" s="22" t="s">
        <v>0</v>
      </c>
      <c r="B1" s="22" t="s">
        <v>377</v>
      </c>
      <c r="C1" s="22" t="s">
        <v>378</v>
      </c>
    </row>
    <row r="2" ht="24" customHeight="1" spans="1:3" s="23" customFormat="1" x14ac:dyDescent="0.25">
      <c r="A2" s="23">
        <v>1</v>
      </c>
      <c r="B2" s="23" t="s">
        <v>379</v>
      </c>
      <c r="C2" s="15" t="s">
        <v>13</v>
      </c>
    </row>
    <row r="3" ht="24" customHeight="1" spans="1:3" s="23" customFormat="1" x14ac:dyDescent="0.25">
      <c r="A3" s="23">
        <v>2</v>
      </c>
      <c r="B3" s="23" t="s">
        <v>380</v>
      </c>
      <c r="C3" s="15" t="s">
        <v>13</v>
      </c>
    </row>
    <row r="4" ht="24" customHeight="1" spans="1:3" s="23" customFormat="1" x14ac:dyDescent="0.25">
      <c r="A4" s="23">
        <v>3</v>
      </c>
      <c r="B4" s="23" t="s">
        <v>381</v>
      </c>
      <c r="C4" s="15" t="s">
        <v>13</v>
      </c>
    </row>
    <row r="5" ht="24" customHeight="1" spans="1:3" s="23" customFormat="1" x14ac:dyDescent="0.25">
      <c r="A5" s="23">
        <v>4</v>
      </c>
      <c r="B5" s="23" t="s">
        <v>382</v>
      </c>
      <c r="C5" s="15" t="s">
        <v>13</v>
      </c>
    </row>
    <row r="6" ht="24" customHeight="1" spans="1:3" s="23" customFormat="1" x14ac:dyDescent="0.25">
      <c r="A6" s="23">
        <v>5</v>
      </c>
      <c r="B6" s="23" t="s">
        <v>383</v>
      </c>
      <c r="C6" s="15" t="s">
        <v>13</v>
      </c>
    </row>
    <row r="7" ht="24" customHeight="1" spans="1:3" s="23" customFormat="1" x14ac:dyDescent="0.25">
      <c r="A7" s="23">
        <v>6</v>
      </c>
      <c r="B7" s="23" t="s">
        <v>384</v>
      </c>
      <c r="C7" s="15" t="s">
        <v>13</v>
      </c>
    </row>
    <row r="8" ht="24" customHeight="1" spans="1:3" s="23" customFormat="1" x14ac:dyDescent="0.25">
      <c r="A8" s="23">
        <v>7</v>
      </c>
      <c r="B8" s="23" t="s">
        <v>385</v>
      </c>
      <c r="C8" s="15" t="s">
        <v>13</v>
      </c>
    </row>
    <row r="9" ht="24" customHeight="1" spans="1:3" s="23" customFormat="1" x14ac:dyDescent="0.25">
      <c r="A9" s="23">
        <v>8</v>
      </c>
      <c r="B9" s="23" t="s">
        <v>386</v>
      </c>
      <c r="C9" s="15" t="s">
        <v>13</v>
      </c>
    </row>
    <row r="10" ht="24" customHeight="1" spans="1:3" s="23" customFormat="1" x14ac:dyDescent="0.25">
      <c r="A10" s="23">
        <v>9</v>
      </c>
      <c r="B10" s="23" t="s">
        <v>387</v>
      </c>
      <c r="C10" s="15" t="s">
        <v>13</v>
      </c>
    </row>
  </sheetData>
  <dataValidations count="2">
    <dataValidation type="list" allowBlank="1" sqref="C10">
      <formula1>"✅,⏳"</formula1>
    </dataValidation>
    <dataValidation type="list" allowBlank="1" sqref="C2:C10">
      <formula1>"✅,⏳"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Pruebas</vt:lpstr>
      <vt:lpstr>Resumen</vt:lpstr>
      <vt:lpstr>Hallazgos nuevos</vt:lpstr>
      <vt:lpstr>Prerequisitos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 ONE QA</dc:creator>
  <dc:title/>
  <dc:subject/>
  <dc:description/>
  <cp:keywords/>
  <cp:category/>
  <cp:lastModifiedBy>Unknown</cp:lastModifiedBy>
  <dcterms:created xsi:type="dcterms:W3CDTF">2026-05-26T15:06:17Z</dcterms:created>
  <dcterms:modified xsi:type="dcterms:W3CDTF">2026-05-26T15:06:17Z</dcterms:modified>
</cp:coreProperties>
</file>