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432"/>
  </bookViews>
  <sheets>
    <sheet sheetId="1" name="FICHAS" state="visible" r:id="rId4"/>
    <sheet sheetId="2" name="ANALISIS" state="visible" r:id="rId5"/>
    <sheet sheetId="3" name="INSTRUCCIONES" state="visible" r:id="rId6"/>
    <sheet sheetId="4" name="_MAPPINGS" state="hidden" r:id="rId7"/>
    <sheet sheetId="5" name="MAESTRO_EMP_FACTURAR" state="visible" r:id="rId8"/>
    <sheet sheetId="6" name="MAESTRO_EMP_SERVICIO" state="visible" r:id="rId9"/>
    <sheet sheetId="7" name="MAESTRO_CENTROS" state="visible" r:id="rId10"/>
  </sheets>
  <calcPr calcId="171027"/>
</workbook>
</file>

<file path=xl/sharedStrings.xml><?xml version="1.0" encoding="utf-8"?>
<sst xmlns="http://schemas.openxmlformats.org/spreadsheetml/2006/main" count="211" uniqueCount="144">
  <si>
    <t>ID MUESTRA *</t>
  </si>
  <si>
    <t>MONITOREO *</t>
  </si>
  <si>
    <t>EMPRESA DE SERVICIO *</t>
  </si>
  <si>
    <t>EMPRESA A FACTURAR *</t>
  </si>
  <si>
    <t>BASE DE OPERACIONES *</t>
  </si>
  <si>
    <t>CENTRO / FUENTE EMISORA *</t>
  </si>
  <si>
    <t>CONTACTO NOMBRE</t>
  </si>
  <si>
    <t>CONTACTO EMAIL</t>
  </si>
  <si>
    <t>OBJETIVO MUESTREO *</t>
  </si>
  <si>
    <t>RESPONSABLE DEL MUESTREO</t>
  </si>
  <si>
    <t xml:space="preserve">CARGO </t>
  </si>
  <si>
    <t>PUNTO DE MUESTREO</t>
  </si>
  <si>
    <t xml:space="preserve">FRECUENCIA PERÍODO
(selección)</t>
  </si>
  <si>
    <t xml:space="preserve">FREC. CANTIDAD
(auto)</t>
  </si>
  <si>
    <t xml:space="preserve">FACTOR
(auto)</t>
  </si>
  <si>
    <t xml:space="preserve">TOTAL SERVICIOS
(auto)</t>
  </si>
  <si>
    <t>UTM NORTE</t>
  </si>
  <si>
    <t>UTM ESTE</t>
  </si>
  <si>
    <t>INSTRUMENTO AMBIENTAL</t>
  </si>
  <si>
    <t>COMPONENTE AMBIENTAL *</t>
  </si>
  <si>
    <t>SUB ÁREA</t>
  </si>
  <si>
    <t>NOMBRE TABLA</t>
  </si>
  <si>
    <t>ETFA S/N</t>
  </si>
  <si>
    <t>INSPECTOR AMBIENTAL</t>
  </si>
  <si>
    <t>TIPO DE MUESTREO</t>
  </si>
  <si>
    <t>TIPO DE MUESTRA</t>
  </si>
  <si>
    <t>ACTIVIDAD DEL MUESTREO</t>
  </si>
  <si>
    <t>DURACIÓN DEL MUESTREO</t>
  </si>
  <si>
    <t>TIPO DE DESCARGA</t>
  </si>
  <si>
    <t>REF. GOOGLE MAPS</t>
  </si>
  <si>
    <t>MEDICION CAUDAL</t>
  </si>
  <si>
    <t>MODALIDAD</t>
  </si>
  <si>
    <t>FORMA CANAL</t>
  </si>
  <si>
    <t>U MEDIDA FORMA CANAL</t>
  </si>
  <si>
    <t>VALOR FORMA CANAL</t>
  </si>
  <si>
    <t>DISPOSITIVO HIDRÁULICO</t>
  </si>
  <si>
    <t>U MEDIDA DISPOSITIVO HIDRÁULICO</t>
  </si>
  <si>
    <t>VALOR DISPOSITIVO HIDRÁULICO</t>
  </si>
  <si>
    <t>OBSERVACIONES</t>
  </si>
  <si>
    <t>M-001</t>
  </si>
  <si>
    <t>Compuesto</t>
  </si>
  <si>
    <t>Invermar S.A.</t>
  </si>
  <si>
    <t>Puerto Montt</t>
  </si>
  <si>
    <t>Piscicultura Lago Verde</t>
  </si>
  <si>
    <t>Maria Jose Castro</t>
  </si>
  <si>
    <t>mariajose.castro@invermar.cl</t>
  </si>
  <si>
    <t>Autocontrol</t>
  </si>
  <si>
    <t>ADL Diagnostic</t>
  </si>
  <si>
    <t>Muestreador</t>
  </si>
  <si>
    <t>Efluente</t>
  </si>
  <si>
    <t>Mensual</t>
  </si>
  <si>
    <t>Resolución SISS N° 3360/2011</t>
  </si>
  <si>
    <t>Agua</t>
  </si>
  <si>
    <t>Agua residual</t>
  </si>
  <si>
    <t>DS 90</t>
  </si>
  <si>
    <t>Si</t>
  </si>
  <si>
    <t>Pablo Flores</t>
  </si>
  <si>
    <t>Automático</t>
  </si>
  <si>
    <t>Medición y Muestreo</t>
  </si>
  <si>
    <t>Continua</t>
  </si>
  <si>
    <t>https://maps.app.goo.gl/u91f5prJhZa5mTyu5</t>
  </si>
  <si>
    <t xml:space="preserve">Limite normativo pH: 6,0 - 8,5 
Limite normativo T°: 40° C
Limite normavito caudal: 71.256 m3/d
Caudal: Anotar totalizador de inicio y final para calcular VDD (volumen descarga diario)</t>
  </si>
  <si>
    <t>🧪 ADL ONE — Carga Masiva  |  Hoja 2: ANALISIS (una fila = un análisis)</t>
  </si>
  <si>
    <t>⚠️ SI DESEA MODIFICAR LA UF, ESCRIBA EN LA COLUMNA AZUL "UF MANUAL". NO TOQUE LA COLUMNA VERDE.</t>
  </si>
  <si>
    <t>NOMBRE ANÁLISIS *</t>
  </si>
  <si>
    <t>TIPO ANÁLISIS *</t>
  </si>
  <si>
    <t>LABORATORIO 1 *</t>
  </si>
  <si>
    <t>TIPO ENTREGA *</t>
  </si>
  <si>
    <t>NORMATIVA</t>
  </si>
  <si>
    <t>REFERENCIA NORMATIVA</t>
  </si>
  <si>
    <t>LABORATORIO 2</t>
  </si>
  <si>
    <t xml:space="preserve">✏️ UF INDIVIDUAL
(Escriba Aquí)</t>
  </si>
  <si>
    <t>pH</t>
  </si>
  <si>
    <t>Terreno</t>
  </si>
  <si>
    <t>No aplica</t>
  </si>
  <si>
    <t>D.S 90</t>
  </si>
  <si>
    <t xml:space="preserve">Tabla 1 </t>
  </si>
  <si>
    <t>Temperatura</t>
  </si>
  <si>
    <t>Caudal</t>
  </si>
  <si>
    <t>Aceites y Grasas</t>
  </si>
  <si>
    <t>Laboratorio</t>
  </si>
  <si>
    <t>Hidrolab</t>
  </si>
  <si>
    <t>Transporte</t>
  </si>
  <si>
    <t>DBO5</t>
  </si>
  <si>
    <t>Nitrogeno Total Kjeldahl</t>
  </si>
  <si>
    <t>Poder Espumogeno</t>
  </si>
  <si>
    <t>Solidos Suspendidos Totales</t>
  </si>
  <si>
    <t>Fósforo Total</t>
  </si>
  <si>
    <t>Cloruros</t>
  </si>
  <si>
    <t>📖 INSTRUCCIONES DE USO</t>
  </si>
  <si>
    <t/>
  </si>
  <si>
    <t>1. HOJA "FICHAS": Ingrese los datos de la ficha en una fila.</t>
  </si>
  <si>
    <t xml:space="preserve">   • La columna AZUL "✏️ UF DISTRIBUIR" es donde usted pone el valor total.</t>
  </si>
  <si>
    <t>2. HOJA "ANALISIS": Repita el ID MUESTRA por cada análisis.</t>
  </si>
  <si>
    <t xml:space="preserve">   • La columna VERDE "🔁 UF INDIVIDUAL" se calculará dividiendo la UF DISTRIBUIR.</t>
  </si>
  <si>
    <t xml:space="preserve">   • Si quiere que un análisis específico tenga otro valor, escríbalo en la columna AZUL "✏️ UF MANUAL".</t>
  </si>
  <si>
    <t>3. DINAMISMO:</t>
  </si>
  <si>
    <t xml:space="preserve">   • Al escribir en UF DISTRIBUIR (Hoja 1), se actualizan todos los análisis (Hoja 2).</t>
  </si>
  <si>
    <t xml:space="preserve">   • Al escribir en UF MANUAL (Hoja 2), se actualiza el UF TOTAL REAL (Hoja 1).</t>
  </si>
  <si>
    <t>✅ CAMBIO: Ingrese el costo UF individualmente por cada análisis en la columna "UF INDIVIDUAL" de la hoja ANALISIS. El sistema sumará automáticamente el total al crear las fichas.</t>
  </si>
  <si>
    <t>✅ MAESTROS: Las hojas MAESTRO_EMP_FACTURAR, MAESTRO_EMP_SERVICIO y MAESTRO_CENTROS contienen los valores válidos para las columnas de empresa y centro en la hoja FICHAS.</t>
  </si>
  <si>
    <t>Hora</t>
  </si>
  <si>
    <t>12</t>
  </si>
  <si>
    <t>Diaria</t>
  </si>
  <si>
    <t>1</t>
  </si>
  <si>
    <t>Semanal</t>
  </si>
  <si>
    <t>2</t>
  </si>
  <si>
    <t>3</t>
  </si>
  <si>
    <t>Bimensual</t>
  </si>
  <si>
    <t>4</t>
  </si>
  <si>
    <t>Trimestral</t>
  </si>
  <si>
    <t>5</t>
  </si>
  <si>
    <t>Cuatrimestral</t>
  </si>
  <si>
    <t>6</t>
  </si>
  <si>
    <t>Semestral</t>
  </si>
  <si>
    <t>7</t>
  </si>
  <si>
    <t>Anual</t>
  </si>
  <si>
    <t>8</t>
  </si>
  <si>
    <t>Eventual</t>
  </si>
  <si>
    <t>9</t>
  </si>
  <si>
    <t>Remuestreo</t>
  </si>
  <si>
    <t>10</t>
  </si>
  <si>
    <t>Bimestral</t>
  </si>
  <si>
    <t>11</t>
  </si>
  <si>
    <t>MAESTRO: EMP FACTURAR</t>
  </si>
  <si>
    <t>⚠️ Esta hoja es un maestro de referencia. Las validaciones de la hoja FICHAS apuntan a esta columna A.</t>
  </si>
  <si>
    <t>Nombre Empresa Facturar</t>
  </si>
  <si>
    <t>AquaChile S.A.</t>
  </si>
  <si>
    <t>Los Fiordos Ltda.</t>
  </si>
  <si>
    <t>Multiexport Foods S.A.</t>
  </si>
  <si>
    <t>Camanchaca S.A.</t>
  </si>
  <si>
    <t>MAESTRO: EMP SERVICIO</t>
  </si>
  <si>
    <t>Nombre Empresa Servicio</t>
  </si>
  <si>
    <t>Laboratorio ADL</t>
  </si>
  <si>
    <t>MAESTRO: CENTROS</t>
  </si>
  <si>
    <t>Nombre Centro / Fuente Emisora</t>
  </si>
  <si>
    <t>Empresa Propietaria</t>
  </si>
  <si>
    <t>Comuna</t>
  </si>
  <si>
    <t>Región</t>
  </si>
  <si>
    <t>Futaleufú</t>
  </si>
  <si>
    <t>Los Lagos</t>
  </si>
  <si>
    <t>Planta Puerto Montt</t>
  </si>
  <si>
    <t>Centro Chaica</t>
  </si>
  <si>
    <t>Los Muermos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</si>
</sst>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b/>
      <color rgb="FF856404"/>
      <sz val="10"/>
      <name val="Calibri"/>
    </font>
    <font>
      <b/>
      <color rgb="FF000000"/>
      <sz val="10"/>
      <name val="Calibri"/>
    </font>
    <font/>
    <font>
      <i/>
      <color rgb="FF1A7A1A"/>
      <sz val="10"/>
      <name val="Calibri"/>
    </font>
    <font>
      <b/>
      <color rgb="FFFFFFFF"/>
      <sz val="14"/>
      <name val="Calibri"/>
    </font>
    <font>
      <color rgb="FF000000"/>
      <sz val="10"/>
      <name val="Calibri"/>
    </font>
    <font>
      <color rgb="FF000000"/>
      <sz val="11"/>
      <name val="Calibri"/>
    </font>
    <font>
      <color rgb="FF1A5276"/>
      <sz val="11"/>
      <name val="Calibri"/>
    </font>
    <font>
      <color rgb="FF1A7A1A"/>
      <sz val="11"/>
      <name val="Calibri"/>
    </font>
    <font>
      <i/>
      <color rgb="FF1F4E79"/>
      <sz val="10"/>
    </font>
    <font>
      <i/>
      <color rgb="FF555555"/>
      <sz val="9"/>
    </font>
    <font>
      <b/>
      <color rgb="FFFFFFFF"/>
      <sz val="10"/>
      <name val="Calibri"/>
    </font>
    <font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A6FBF"/>
      </patternFill>
    </fill>
    <fill>
      <patternFill patternType="solid">
        <fgColor rgb="FFFFF3CD"/>
      </patternFill>
    </fill>
    <fill>
      <patternFill patternType="solid">
        <fgColor rgb="FFFFE699"/>
      </patternFill>
    </fill>
    <fill>
      <patternFill patternType="solid">
        <fgColor rgb="FFEAF7EA"/>
      </patternFill>
    </fill>
    <fill>
      <patternFill patternType="solid">
        <fgColor rgb="FF0D5C2E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DF2E9"/>
      </patternFill>
    </fill>
    <fill>
      <patternFill patternType="solid">
        <fgColor rgb="FF20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/>
    <xf numFmtId="0" fontId="4" fillId="0" borderId="0" xfId="0" applyFont="1"/>
    <xf numFmtId="0" fontId="1" fillId="6" borderId="0" xfId="0" applyFont="1" applyFill="1" applyAlignment="1">
      <alignment horizontal="center" vertical="center"/>
    </xf>
    <xf numFmtId="0" fontId="6" fillId="2" borderId="0" xfId="0" applyFont="1" applyFill="1"/>
    <xf numFmtId="0" fontId="7" fillId="7" borderId="0" xfId="0" applyFont="1" applyFill="1"/>
    <xf numFmtId="0" fontId="8" fillId="7" borderId="0" xfId="0" applyFont="1" applyFill="1"/>
    <xf numFmtId="0" fontId="9" fillId="8" borderId="0" xfId="0" applyFont="1" applyFill="1"/>
    <xf numFmtId="0" fontId="10" fillId="5" borderId="0" xfId="0" applyFont="1" applyFill="1"/>
    <xf numFmtId="0" fontId="7" fillId="9" borderId="0" xfId="0" applyFont="1" applyFill="1"/>
    <xf numFmtId="0" fontId="11" fillId="0" borderId="0" xfId="0" applyFont="1" applyAlignment="1">
      <alignment wrapText="1"/>
    </xf>
    <xf numFmtId="0" fontId="1" fillId="10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6FBF"/>
  </sheetPr>
  <dimension ref="A1:AQ1003"/>
  <sheetViews>
    <sheetView workbookViewId="0" zoomScale="85" zoomScaleNormal="85">
      <pane xSplit="1" ySplit="3" topLeftCell="H4" activePane="bottomRight" state="frozen"/>
      <selection pane="bottomRight" activeCell="O4" sqref="O4"/>
    </sheetView>
  </sheetViews>
  <sheetFormatPr defaultRowHeight="14.4" outlineLevelRow="0" outlineLevelCol="0" x14ac:dyDescent="0.3" defaultColWidth="8.88671875" customHeight="1"/>
  <cols>
    <col min="1" max="1" width="14" customWidth="1"/>
    <col min="2" max="2" width="18" customWidth="1"/>
    <col min="3" max="4" width="30" customWidth="1"/>
    <col min="5" max="5" width="22" customWidth="1"/>
    <col min="6" max="6" width="30" customWidth="1"/>
    <col min="7" max="7" width="26" customWidth="1"/>
    <col min="8" max="8" width="28" customWidth="1"/>
    <col min="9" max="9" width="22" customWidth="1"/>
    <col min="10" max="10" width="24" customWidth="1"/>
    <col min="11" max="11" width="20" customWidth="1"/>
    <col min="12" max="12" width="22" customWidth="1"/>
    <col min="13" max="13" width="20" customWidth="1"/>
    <col min="14" max="14" width="16" customWidth="1"/>
    <col min="15" max="15" width="22" customWidth="1"/>
    <col min="16" max="16" width="12" customWidth="1"/>
    <col min="17" max="18" width="14" customWidth="1"/>
    <col min="19" max="19" width="28" customWidth="1"/>
    <col min="20" max="20" width="22" customWidth="1"/>
    <col min="21" max="22" width="20" customWidth="1"/>
    <col min="23" max="23" width="10" customWidth="1"/>
    <col min="24" max="26" width="22" customWidth="1"/>
    <col min="27" max="27" width="26" customWidth="1"/>
    <col min="28" max="28" width="22" customWidth="1"/>
    <col min="29" max="29" width="18" customWidth="1"/>
    <col min="30" max="30" width="38" customWidth="1"/>
    <col min="31" max="32" width="18" customWidth="1"/>
    <col min="33" max="33" width="16" customWidth="1"/>
    <col min="34" max="34" width="22" customWidth="1"/>
    <col min="35" max="35" width="20" customWidth="1"/>
    <col min="36" max="36" width="22" customWidth="1"/>
    <col min="37" max="38" width="30" customWidth="1"/>
    <col min="39" max="39" width="49.33203125" customWidth="1"/>
    <col min="40" max="41" width="0.1" hidden="1" customWidth="1"/>
  </cols>
  <sheetData>
    <row r="1" ht="15.6" customHeight="1" spans="1:4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/>
      <c r="AQ1"/>
    </row>
    <row r="2" spans="1:4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/>
      <c r="AQ2"/>
    </row>
    <row r="3" ht="34.95" customHeight="1" spans="1:4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4"/>
      <c r="AO3" s="3"/>
    </row>
    <row r="4" ht="96.6" customHeight="1" spans="1:41" x14ac:dyDescent="0.25">
      <c r="A4" s="5" t="s">
        <v>39</v>
      </c>
      <c r="B4" s="5" t="s">
        <v>40</v>
      </c>
      <c r="C4" s="5" t="s">
        <v>41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M4" s="5" t="s">
        <v>50</v>
      </c>
      <c r="N4" s="5">
        <v>4</v>
      </c>
      <c r="O4" s="5">
        <f>IF(M4="", "", IFERROR(VLOOKUP(IF(ISNUMBER(M4),TEXT(M4,"0"),M4), _MAPPINGS!$A$1:$C$24, 3, FALSE), 1))</f>
        <v>12</v>
      </c>
      <c r="P4" s="5">
        <f t="shared" ref="P4:P35" si="0">IF(AND(N4&lt;&gt;"", O4&lt;&gt;""), N4*O4, "")</f>
        <v>48</v>
      </c>
      <c r="Q4" s="5">
        <v>5426758</v>
      </c>
      <c r="R4" s="5">
        <v>711953</v>
      </c>
      <c r="S4" s="5" t="s">
        <v>51</v>
      </c>
      <c r="T4" s="5" t="s">
        <v>52</v>
      </c>
      <c r="U4" s="5" t="s">
        <v>53</v>
      </c>
      <c r="V4" s="5" t="s">
        <v>54</v>
      </c>
      <c r="W4" s="5" t="s">
        <v>55</v>
      </c>
      <c r="X4" s="5" t="s">
        <v>56</v>
      </c>
      <c r="Y4" s="5" t="s">
        <v>57</v>
      </c>
      <c r="Z4" s="5" t="s">
        <v>53</v>
      </c>
      <c r="AA4" s="5" t="s">
        <v>58</v>
      </c>
      <c r="AB4" s="5">
        <v>24</v>
      </c>
      <c r="AC4" s="5" t="s">
        <v>59</v>
      </c>
      <c r="AD4" s="5" t="s">
        <v>60</v>
      </c>
      <c r="AE4" s="5" t="s">
        <v>57</v>
      </c>
      <c r="AF4" s="5"/>
      <c r="AG4" s="5"/>
      <c r="AH4" s="5"/>
      <c r="AI4" s="5"/>
      <c r="AJ4" s="5"/>
      <c r="AK4" s="5"/>
      <c r="AL4" s="5"/>
      <c r="AM4" s="6" t="s">
        <v>61</v>
      </c>
      <c r="AN4" s="5"/>
      <c r="AO4" s="5"/>
    </row>
    <row r="5" ht="19.95" customHeight="1" spans="1:4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f>IF(M5="", "", IFERROR(VLOOKUP(IF(ISNUMBER(M5),TEXT(M5,"0"),M5), _MAPPINGS!$A$1:$C$24, 2, FALSE), 1))</f>
      </c>
      <c r="O5" s="5">
        <f>IF(M5="", "", IFERROR(VLOOKUP(IF(ISNUMBER(M5),TEXT(M5,"0"),M5), _MAPPINGS!$A$1:$C$24, 3, FALSE), 1))</f>
      </c>
      <c r="P5" s="5">
        <f t="shared" si="0"/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ht="19.95" customHeight="1" spans="1:41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f>IF(M6="", "", IFERROR(VLOOKUP(IF(ISNUMBER(M6),TEXT(M6,"0"),M6), _MAPPINGS!$A$1:$C$24, 2, FALSE), 1))</f>
      </c>
      <c r="O6" s="5">
        <f>IF(M6="", "", IFERROR(VLOOKUP(IF(ISNUMBER(M6),TEXT(M6,"0"),M6), _MAPPINGS!$A$1:$C$24, 3, FALSE), 1))</f>
      </c>
      <c r="P6" s="5">
        <f t="shared" si="0"/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ht="19.95" customHeight="1" spans="1:41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f>IF(M7="", "", IFERROR(VLOOKUP(IF(ISNUMBER(M7),TEXT(M7,"0"),M7), _MAPPINGS!$A$1:$C$24, 2, FALSE), 1))</f>
      </c>
      <c r="O7" s="5">
        <f>IF(M7="", "", IFERROR(VLOOKUP(IF(ISNUMBER(M7),TEXT(M7,"0"),M7), _MAPPINGS!$A$1:$C$24, 3, FALSE), 1))</f>
      </c>
      <c r="P7" s="5">
        <f t="shared" si="0"/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ht="19.95" customHeight="1" spans="1:4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f>IF(M8="", "", IFERROR(VLOOKUP(IF(ISNUMBER(M8),TEXT(M8,"0"),M8), _MAPPINGS!$A$1:$C$24, 2, FALSE), 1))</f>
      </c>
      <c r="O8" s="5">
        <f>IF(M8="", "", IFERROR(VLOOKUP(IF(ISNUMBER(M8),TEXT(M8,"0"),M8), _MAPPINGS!$A$1:$C$24, 3, FALSE), 1))</f>
      </c>
      <c r="P8" s="5">
        <f t="shared" si="0"/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ht="19.95" customHeight="1" spans="1:4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>
        <f>IF(M9="", "", IFERROR(VLOOKUP(IF(ISNUMBER(M9),TEXT(M9,"0"),M9), _MAPPINGS!$A$1:$C$24, 2, FALSE), 1))</f>
      </c>
      <c r="O9" s="5">
        <f>IF(M9="", "", IFERROR(VLOOKUP(IF(ISNUMBER(M9),TEXT(M9,"0"),M9), _MAPPINGS!$A$1:$C$24, 3, FALSE), 1))</f>
      </c>
      <c r="P9" s="5">
        <f t="shared" si="0"/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ht="19.95" customHeight="1" spans="1:4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f>IF(M10="", "", IFERROR(VLOOKUP(IF(ISNUMBER(M10),TEXT(M10,"0"),M10), _MAPPINGS!$A$1:$C$24, 2, FALSE), 1))</f>
      </c>
      <c r="O10" s="5">
        <f>IF(M10="", "", IFERROR(VLOOKUP(IF(ISNUMBER(M10),TEXT(M10,"0"),M10), _MAPPINGS!$A$1:$C$24, 3, FALSE), 1))</f>
      </c>
      <c r="P10" s="5">
        <f t="shared" si="0"/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ht="19.95" customHeight="1" spans="1:41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f>IF(M11="", "", IFERROR(VLOOKUP(IF(ISNUMBER(M11),TEXT(M11,"0"),M11), _MAPPINGS!$A$1:$C$24, 2, FALSE), 1))</f>
      </c>
      <c r="O11" s="5">
        <f>IF(M11="", "", IFERROR(VLOOKUP(IF(ISNUMBER(M11),TEXT(M11,"0"),M11), _MAPPINGS!$A$1:$C$24, 3, FALSE), 1))</f>
      </c>
      <c r="P11" s="5">
        <f t="shared" si="0"/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ht="19.95" customHeight="1" spans="1:4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f>IF(M12="", "", IFERROR(VLOOKUP(IF(ISNUMBER(M12),TEXT(M12,"0"),M12), _MAPPINGS!$A$1:$C$24, 2, FALSE), 1))</f>
      </c>
      <c r="O12" s="5">
        <f>IF(M12="", "", IFERROR(VLOOKUP(IF(ISNUMBER(M12),TEXT(M12,"0"),M12), _MAPPINGS!$A$1:$C$24, 3, FALSE), 1))</f>
      </c>
      <c r="P12" s="5">
        <f t="shared" si="0"/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ht="19.95" customHeight="1" spans="1:4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f>IF(M13="", "", IFERROR(VLOOKUP(IF(ISNUMBER(M13),TEXT(M13,"0"),M13), _MAPPINGS!$A$1:$C$24, 2, FALSE), 1))</f>
      </c>
      <c r="O13" s="5">
        <f>IF(M13="", "", IFERROR(VLOOKUP(IF(ISNUMBER(M13),TEXT(M13,"0"),M13), _MAPPINGS!$A$1:$C$24, 3, FALSE), 1))</f>
      </c>
      <c r="P13" s="5">
        <f t="shared" si="0"/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ht="19.95" customHeight="1" spans="1:4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f>IF(M14="", "", IFERROR(VLOOKUP(IF(ISNUMBER(M14),TEXT(M14,"0"),M14), _MAPPINGS!$A$1:$C$24, 2, FALSE), 1))</f>
      </c>
      <c r="O14" s="5">
        <f>IF(M14="", "", IFERROR(VLOOKUP(IF(ISNUMBER(M14),TEXT(M14,"0"),M14), _MAPPINGS!$A$1:$C$24, 3, FALSE), 1))</f>
      </c>
      <c r="P14" s="5">
        <f t="shared" si="0"/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ht="19.95" customHeight="1" spans="1:4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f>IF(M15="", "", IFERROR(VLOOKUP(IF(ISNUMBER(M15),TEXT(M15,"0"),M15), _MAPPINGS!$A$1:$C$24, 2, FALSE), 1))</f>
      </c>
      <c r="O15" s="5">
        <f>IF(M15="", "", IFERROR(VLOOKUP(IF(ISNUMBER(M15),TEXT(M15,"0"),M15), _MAPPINGS!$A$1:$C$24, 3, FALSE), 1))</f>
      </c>
      <c r="P15" s="5">
        <f t="shared" si="0"/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ht="19.95" customHeight="1" spans="1:4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f>IF(M16="", "", IFERROR(VLOOKUP(IF(ISNUMBER(M16),TEXT(M16,"0"),M16), _MAPPINGS!$A$1:$C$24, 2, FALSE), 1))</f>
      </c>
      <c r="O16" s="5">
        <f>IF(M16="", "", IFERROR(VLOOKUP(IF(ISNUMBER(M16),TEXT(M16,"0"),M16), _MAPPINGS!$A$1:$C$24, 3, FALSE), 1))</f>
      </c>
      <c r="P16" s="5">
        <f t="shared" si="0"/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ht="19.95" customHeight="1" spans="1:4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>
        <f>IF(M17="", "", IFERROR(VLOOKUP(IF(ISNUMBER(M17),TEXT(M17,"0"),M17), _MAPPINGS!$A$1:$C$24, 2, FALSE), 1))</f>
      </c>
      <c r="O17" s="5">
        <f>IF(M17="", "", IFERROR(VLOOKUP(IF(ISNUMBER(M17),TEXT(M17,"0"),M17), _MAPPINGS!$A$1:$C$24, 3, FALSE), 1))</f>
      </c>
      <c r="P17" s="5">
        <f t="shared" si="0"/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ht="19.95" customHeight="1" spans="1:4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>
        <f>IF(M18="", "", IFERROR(VLOOKUP(IF(ISNUMBER(M18),TEXT(M18,"0"),M18), _MAPPINGS!$A$1:$C$24, 2, FALSE), 1))</f>
      </c>
      <c r="O18" s="5">
        <f>IF(M18="", "", IFERROR(VLOOKUP(IF(ISNUMBER(M18),TEXT(M18,"0"),M18), _MAPPINGS!$A$1:$C$24, 3, FALSE), 1))</f>
      </c>
      <c r="P18" s="5">
        <f t="shared" si="0"/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ht="19.95" customHeight="1" spans="1:4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f>IF(M19="", "", IFERROR(VLOOKUP(IF(ISNUMBER(M19),TEXT(M19,"0"),M19), _MAPPINGS!$A$1:$C$24, 2, FALSE), 1))</f>
      </c>
      <c r="O19" s="5">
        <f>IF(M19="", "", IFERROR(VLOOKUP(IF(ISNUMBER(M19),TEXT(M19,"0"),M19), _MAPPINGS!$A$1:$C$24, 3, FALSE), 1))</f>
      </c>
      <c r="P19" s="5">
        <f t="shared" si="0"/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ht="19.95" customHeight="1" spans="1:4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f>IF(M20="", "", IFERROR(VLOOKUP(IF(ISNUMBER(M20),TEXT(M20,"0"),M20), _MAPPINGS!$A$1:$C$24, 2, FALSE), 1))</f>
      </c>
      <c r="O20" s="5">
        <f>IF(M20="", "", IFERROR(VLOOKUP(IF(ISNUMBER(M20),TEXT(M20,"0"),M20), _MAPPINGS!$A$1:$C$24, 3, FALSE), 1))</f>
      </c>
      <c r="P20" s="5">
        <f t="shared" si="0"/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ht="19.95" customHeight="1" spans="1:4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f>IF(M21="", "", IFERROR(VLOOKUP(IF(ISNUMBER(M21),TEXT(M21,"0"),M21), _MAPPINGS!$A$1:$C$24, 2, FALSE), 1))</f>
      </c>
      <c r="O21" s="5">
        <f>IF(M21="", "", IFERROR(VLOOKUP(IF(ISNUMBER(M21),TEXT(M21,"0"),M21), _MAPPINGS!$A$1:$C$24, 3, FALSE), 1))</f>
      </c>
      <c r="P21" s="5">
        <f t="shared" si="0"/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ht="19.95" customHeight="1" spans="1:4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f>IF(M22="", "", IFERROR(VLOOKUP(IF(ISNUMBER(M22),TEXT(M22,"0"),M22), _MAPPINGS!$A$1:$C$24, 2, FALSE), 1))</f>
      </c>
      <c r="O22" s="5">
        <f>IF(M22="", "", IFERROR(VLOOKUP(IF(ISNUMBER(M22),TEXT(M22,"0"),M22), _MAPPINGS!$A$1:$C$24, 3, FALSE), 1))</f>
      </c>
      <c r="P22" s="5">
        <f t="shared" si="0"/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ht="19.95" customHeight="1" spans="1:4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>
        <f>IF(M23="", "", IFERROR(VLOOKUP(IF(ISNUMBER(M23),TEXT(M23,"0"),M23), _MAPPINGS!$A$1:$C$24, 2, FALSE), 1))</f>
      </c>
      <c r="O23" s="5">
        <f>IF(M23="", "", IFERROR(VLOOKUP(IF(ISNUMBER(M23),TEXT(M23,"0"),M23), _MAPPINGS!$A$1:$C$24, 3, FALSE), 1))</f>
      </c>
      <c r="P23" s="5">
        <f t="shared" si="0"/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ht="19.95" customHeight="1" spans="1:4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f>IF(M24="", "", IFERROR(VLOOKUP(IF(ISNUMBER(M24),TEXT(M24,"0"),M24), _MAPPINGS!$A$1:$C$24, 2, FALSE), 1))</f>
      </c>
      <c r="O24" s="5">
        <f>IF(M24="", "", IFERROR(VLOOKUP(IF(ISNUMBER(M24),TEXT(M24,"0"),M24), _MAPPINGS!$A$1:$C$24, 3, FALSE), 1))</f>
      </c>
      <c r="P24" s="5">
        <f t="shared" si="0"/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ht="19.95" customHeight="1" spans="1:4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f>IF(M25="", "", IFERROR(VLOOKUP(IF(ISNUMBER(M25),TEXT(M25,"0"),M25), _MAPPINGS!$A$1:$C$24, 2, FALSE), 1))</f>
      </c>
      <c r="O25" s="5">
        <f>IF(M25="", "", IFERROR(VLOOKUP(IF(ISNUMBER(M25),TEXT(M25,"0"),M25), _MAPPINGS!$A$1:$C$24, 3, FALSE), 1))</f>
      </c>
      <c r="P25" s="5">
        <f t="shared" si="0"/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ht="19.95" customHeight="1" spans="1:4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f>IF(M26="", "", IFERROR(VLOOKUP(IF(ISNUMBER(M26),TEXT(M26,"0"),M26), _MAPPINGS!$A$1:$C$24, 2, FALSE), 1))</f>
      </c>
      <c r="O26" s="5">
        <f>IF(M26="", "", IFERROR(VLOOKUP(IF(ISNUMBER(M26),TEXT(M26,"0"),M26), _MAPPINGS!$A$1:$C$24, 3, FALSE), 1))</f>
      </c>
      <c r="P26" s="5">
        <f t="shared" si="0"/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ht="19.95" customHeight="1" spans="1:4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f>IF(M27="", "", IFERROR(VLOOKUP(IF(ISNUMBER(M27),TEXT(M27,"0"),M27), _MAPPINGS!$A$1:$C$24, 2, FALSE), 1))</f>
      </c>
      <c r="O27" s="5">
        <f>IF(M27="", "", IFERROR(VLOOKUP(IF(ISNUMBER(M27),TEXT(M27,"0"),M27), _MAPPINGS!$A$1:$C$24, 3, FALSE), 1))</f>
      </c>
      <c r="P27" s="5">
        <f t="shared" si="0"/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ht="19.95" customHeight="1" spans="1:4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f>IF(M28="", "", IFERROR(VLOOKUP(IF(ISNUMBER(M28),TEXT(M28,"0"),M28), _MAPPINGS!$A$1:$C$24, 2, FALSE), 1))</f>
      </c>
      <c r="O28" s="5">
        <f>IF(M28="", "", IFERROR(VLOOKUP(IF(ISNUMBER(M28),TEXT(M28,"0"),M28), _MAPPINGS!$A$1:$C$24, 3, FALSE), 1))</f>
      </c>
      <c r="P28" s="5">
        <f t="shared" si="0"/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ht="19.95" customHeight="1" spans="1:4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>
        <f>IF(M29="", "", IFERROR(VLOOKUP(IF(ISNUMBER(M29),TEXT(M29,"0"),M29), _MAPPINGS!$A$1:$C$24, 2, FALSE), 1))</f>
      </c>
      <c r="O29" s="5">
        <f>IF(M29="", "", IFERROR(VLOOKUP(IF(ISNUMBER(M29),TEXT(M29,"0"),M29), _MAPPINGS!$A$1:$C$24, 3, FALSE), 1))</f>
      </c>
      <c r="P29" s="5">
        <f t="shared" si="0"/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ht="19.95" customHeight="1" spans="1:4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f>IF(M30="", "", IFERROR(VLOOKUP(IF(ISNUMBER(M30),TEXT(M30,"0"),M30), _MAPPINGS!$A$1:$C$24, 2, FALSE), 1))</f>
      </c>
      <c r="O30" s="5">
        <f>IF(M30="", "", IFERROR(VLOOKUP(IF(ISNUMBER(M30),TEXT(M30,"0"),M30), _MAPPINGS!$A$1:$C$24, 3, FALSE), 1))</f>
      </c>
      <c r="P30" s="5">
        <f t="shared" si="0"/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ht="19.95" customHeight="1" spans="1:4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f>IF(M31="", "", IFERROR(VLOOKUP(IF(ISNUMBER(M31),TEXT(M31,"0"),M31), _MAPPINGS!$A$1:$C$24, 2, FALSE), 1))</f>
      </c>
      <c r="O31" s="5">
        <f>IF(M31="", "", IFERROR(VLOOKUP(IF(ISNUMBER(M31),TEXT(M31,"0"),M31), _MAPPINGS!$A$1:$C$24, 3, FALSE), 1))</f>
      </c>
      <c r="P31" s="5">
        <f t="shared" si="0"/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ht="19.95" customHeight="1" spans="1:4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f>IF(M32="", "", IFERROR(VLOOKUP(IF(ISNUMBER(M32),TEXT(M32,"0"),M32), _MAPPINGS!$A$1:$C$24, 2, FALSE), 1))</f>
      </c>
      <c r="O32" s="5">
        <f>IF(M32="", "", IFERROR(VLOOKUP(IF(ISNUMBER(M32),TEXT(M32,"0"),M32), _MAPPINGS!$A$1:$C$24, 3, FALSE), 1))</f>
      </c>
      <c r="P32" s="5">
        <f t="shared" si="0"/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ht="19.95" customHeight="1" spans="1:4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f>IF(M33="", "", IFERROR(VLOOKUP(IF(ISNUMBER(M33),TEXT(M33,"0"),M33), _MAPPINGS!$A$1:$C$24, 2, FALSE), 1))</f>
      </c>
      <c r="O33" s="5">
        <f>IF(M33="", "", IFERROR(VLOOKUP(IF(ISNUMBER(M33),TEXT(M33,"0"),M33), _MAPPINGS!$A$1:$C$24, 3, FALSE), 1))</f>
      </c>
      <c r="P33" s="5">
        <f t="shared" si="0"/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ht="19.95" customHeight="1" spans="1:4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IF(M34="", "", IFERROR(VLOOKUP(IF(ISNUMBER(M34),TEXT(M34,"0"),M34), _MAPPINGS!$A$1:$C$24, 2, FALSE), 1))</f>
      </c>
      <c r="O34" s="5">
        <f>IF(M34="", "", IFERROR(VLOOKUP(IF(ISNUMBER(M34),TEXT(M34,"0"),M34), _MAPPINGS!$A$1:$C$24, 3, FALSE), 1))</f>
      </c>
      <c r="P34" s="5">
        <f t="shared" si="0"/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ht="19.95" customHeight="1" spans="1:4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f>IF(M35="", "", IFERROR(VLOOKUP(IF(ISNUMBER(M35),TEXT(M35,"0"),M35), _MAPPINGS!$A$1:$C$24, 2, FALSE), 1))</f>
      </c>
      <c r="O35" s="5">
        <f>IF(M35="", "", IFERROR(VLOOKUP(IF(ISNUMBER(M35),TEXT(M35,"0"),M35), _MAPPINGS!$A$1:$C$24, 3, FALSE), 1))</f>
      </c>
      <c r="P35" s="5">
        <f t="shared" si="0"/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ht="19.95" customHeight="1" spans="1:4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f>IF(M36="", "", IFERROR(VLOOKUP(IF(ISNUMBER(M36),TEXT(M36,"0"),M36), _MAPPINGS!$A$1:$C$24, 2, FALSE), 1))</f>
      </c>
      <c r="O36" s="5">
        <f>IF(M36="", "", IFERROR(VLOOKUP(IF(ISNUMBER(M36),TEXT(M36,"0"),M36), _MAPPINGS!$A$1:$C$24, 3, FALSE), 1))</f>
      </c>
      <c r="P36" s="5">
        <f t="shared" ref="P36:P67" si="1">IF(AND(N36&lt;&gt;"", O36&lt;&gt;""), N36*O36, "")</f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ht="19.95" customHeight="1" spans="1:4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f>IF(M37="", "", IFERROR(VLOOKUP(IF(ISNUMBER(M37),TEXT(M37,"0"),M37), _MAPPINGS!$A$1:$C$24, 2, FALSE), 1))</f>
      </c>
      <c r="O37" s="5">
        <f>IF(M37="", "", IFERROR(VLOOKUP(IF(ISNUMBER(M37),TEXT(M37,"0"),M37), _MAPPINGS!$A$1:$C$24, 3, FALSE), 1))</f>
      </c>
      <c r="P37" s="5">
        <f t="shared" si="1"/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ht="19.95" customHeight="1" spans="1:4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>
        <f>IF(M38="", "", IFERROR(VLOOKUP(IF(ISNUMBER(M38),TEXT(M38,"0"),M38), _MAPPINGS!$A$1:$C$24, 2, FALSE), 1))</f>
      </c>
      <c r="O38" s="5">
        <f>IF(M38="", "", IFERROR(VLOOKUP(IF(ISNUMBER(M38),TEXT(M38,"0"),M38), _MAPPINGS!$A$1:$C$24, 3, FALSE), 1))</f>
      </c>
      <c r="P38" s="5">
        <f t="shared" si="1"/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ht="19.95" customHeight="1" spans="1:4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>
        <f>IF(M39="", "", IFERROR(VLOOKUP(IF(ISNUMBER(M39),TEXT(M39,"0"),M39), _MAPPINGS!$A$1:$C$24, 2, FALSE), 1))</f>
      </c>
      <c r="O39" s="5">
        <f>IF(M39="", "", IFERROR(VLOOKUP(IF(ISNUMBER(M39),TEXT(M39,"0"),M39), _MAPPINGS!$A$1:$C$24, 3, FALSE), 1))</f>
      </c>
      <c r="P39" s="5">
        <f t="shared" si="1"/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ht="19.95" customHeight="1" spans="1:4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f>IF(M40="", "", IFERROR(VLOOKUP(IF(ISNUMBER(M40),TEXT(M40,"0"),M40), _MAPPINGS!$A$1:$C$24, 2, FALSE), 1))</f>
      </c>
      <c r="O40" s="5">
        <f>IF(M40="", "", IFERROR(VLOOKUP(IF(ISNUMBER(M40),TEXT(M40,"0"),M40), _MAPPINGS!$A$1:$C$24, 3, FALSE), 1))</f>
      </c>
      <c r="P40" s="5">
        <f t="shared" si="1"/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ht="19.95" customHeight="1" spans="1:4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f>IF(M41="", "", IFERROR(VLOOKUP(IF(ISNUMBER(M41),TEXT(M41,"0"),M41), _MAPPINGS!$A$1:$C$24, 2, FALSE), 1))</f>
      </c>
      <c r="O41" s="5">
        <f>IF(M41="", "", IFERROR(VLOOKUP(IF(ISNUMBER(M41),TEXT(M41,"0"),M41), _MAPPINGS!$A$1:$C$24, 3, FALSE), 1))</f>
      </c>
      <c r="P41" s="5">
        <f t="shared" si="1"/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ht="19.95" customHeight="1" spans="1:4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IF(M42="", "", IFERROR(VLOOKUP(IF(ISNUMBER(M42),TEXT(M42,"0"),M42), _MAPPINGS!$A$1:$C$24, 2, FALSE), 1))</f>
      </c>
      <c r="O42" s="5">
        <f>IF(M42="", "", IFERROR(VLOOKUP(IF(ISNUMBER(M42),TEXT(M42,"0"),M42), _MAPPINGS!$A$1:$C$24, 3, FALSE), 1))</f>
      </c>
      <c r="P42" s="5">
        <f t="shared" si="1"/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ht="19.95" customHeight="1" spans="1:4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f>IF(M43="", "", IFERROR(VLOOKUP(IF(ISNUMBER(M43),TEXT(M43,"0"),M43), _MAPPINGS!$A$1:$C$24, 2, FALSE), 1))</f>
      </c>
      <c r="O43" s="5">
        <f>IF(M43="", "", IFERROR(VLOOKUP(IF(ISNUMBER(M43),TEXT(M43,"0"),M43), _MAPPINGS!$A$1:$C$24, 3, FALSE), 1))</f>
      </c>
      <c r="P43" s="5">
        <f t="shared" si="1"/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ht="19.95" customHeight="1" spans="1:4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f>IF(M44="", "", IFERROR(VLOOKUP(IF(ISNUMBER(M44),TEXT(M44,"0"),M44), _MAPPINGS!$A$1:$C$24, 2, FALSE), 1))</f>
      </c>
      <c r="O44" s="5">
        <f>IF(M44="", "", IFERROR(VLOOKUP(IF(ISNUMBER(M44),TEXT(M44,"0"),M44), _MAPPINGS!$A$1:$C$24, 3, FALSE), 1))</f>
      </c>
      <c r="P44" s="5">
        <f t="shared" si="1"/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ht="19.95" customHeight="1" spans="1:4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>
        <f>IF(M45="", "", IFERROR(VLOOKUP(IF(ISNUMBER(M45),TEXT(M45,"0"),M45), _MAPPINGS!$A$1:$C$24, 2, FALSE), 1))</f>
      </c>
      <c r="O45" s="5">
        <f>IF(M45="", "", IFERROR(VLOOKUP(IF(ISNUMBER(M45),TEXT(M45,"0"),M45), _MAPPINGS!$A$1:$C$24, 3, FALSE), 1))</f>
      </c>
      <c r="P45" s="5">
        <f t="shared" si="1"/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ht="19.95" customHeight="1" spans="1:4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f>IF(M46="", "", IFERROR(VLOOKUP(IF(ISNUMBER(M46),TEXT(M46,"0"),M46), _MAPPINGS!$A$1:$C$24, 2, FALSE), 1))</f>
      </c>
      <c r="O46" s="5">
        <f>IF(M46="", "", IFERROR(VLOOKUP(IF(ISNUMBER(M46),TEXT(M46,"0"),M46), _MAPPINGS!$A$1:$C$24, 3, FALSE), 1))</f>
      </c>
      <c r="P46" s="5">
        <f t="shared" si="1"/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ht="19.95" customHeight="1" spans="1:4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>
        <f>IF(M47="", "", IFERROR(VLOOKUP(IF(ISNUMBER(M47),TEXT(M47,"0"),M47), _MAPPINGS!$A$1:$C$24, 2, FALSE), 1))</f>
      </c>
      <c r="O47" s="5">
        <f>IF(M47="", "", IFERROR(VLOOKUP(IF(ISNUMBER(M47),TEXT(M47,"0"),M47), _MAPPINGS!$A$1:$C$24, 3, FALSE), 1))</f>
      </c>
      <c r="P47" s="5">
        <f t="shared" si="1"/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ht="19.95" customHeight="1" spans="1:4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f>IF(M48="", "", IFERROR(VLOOKUP(IF(ISNUMBER(M48),TEXT(M48,"0"),M48), _MAPPINGS!$A$1:$C$24, 2, FALSE), 1))</f>
      </c>
      <c r="O48" s="5">
        <f>IF(M48="", "", IFERROR(VLOOKUP(IF(ISNUMBER(M48),TEXT(M48,"0"),M48), _MAPPINGS!$A$1:$C$24, 3, FALSE), 1))</f>
      </c>
      <c r="P48" s="5">
        <f t="shared" si="1"/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ht="19.95" customHeight="1" spans="1:4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>
        <f>IF(M49="", "", IFERROR(VLOOKUP(IF(ISNUMBER(M49),TEXT(M49,"0"),M49), _MAPPINGS!$A$1:$C$24, 2, FALSE), 1))</f>
      </c>
      <c r="O49" s="5">
        <f>IF(M49="", "", IFERROR(VLOOKUP(IF(ISNUMBER(M49),TEXT(M49,"0"),M49), _MAPPINGS!$A$1:$C$24, 3, FALSE), 1))</f>
      </c>
      <c r="P49" s="5">
        <f t="shared" si="1"/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ht="19.95" customHeight="1" spans="1:4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f>IF(M50="", "", IFERROR(VLOOKUP(IF(ISNUMBER(M50),TEXT(M50,"0"),M50), _MAPPINGS!$A$1:$C$24, 2, FALSE), 1))</f>
      </c>
      <c r="O50" s="5">
        <f>IF(M50="", "", IFERROR(VLOOKUP(IF(ISNUMBER(M50),TEXT(M50,"0"),M50), _MAPPINGS!$A$1:$C$24, 3, FALSE), 1))</f>
      </c>
      <c r="P50" s="5">
        <f t="shared" si="1"/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ht="19.95" customHeight="1" spans="1:4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>
        <f>IF(M51="", "", IFERROR(VLOOKUP(IF(ISNUMBER(M51),TEXT(M51,"0"),M51), _MAPPINGS!$A$1:$C$24, 2, FALSE), 1))</f>
      </c>
      <c r="O51" s="5">
        <f>IF(M51="", "", IFERROR(VLOOKUP(IF(ISNUMBER(M51),TEXT(M51,"0"),M51), _MAPPINGS!$A$1:$C$24, 3, FALSE), 1))</f>
      </c>
      <c r="P51" s="5">
        <f t="shared" si="1"/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ht="19.95" customHeight="1" spans="1:4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f>IF(M52="", "", IFERROR(VLOOKUP(IF(ISNUMBER(M52),TEXT(M52,"0"),M52), _MAPPINGS!$A$1:$C$24, 2, FALSE), 1))</f>
      </c>
      <c r="O52" s="5">
        <f>IF(M52="", "", IFERROR(VLOOKUP(IF(ISNUMBER(M52),TEXT(M52,"0"),M52), _MAPPINGS!$A$1:$C$24, 3, FALSE), 1))</f>
      </c>
      <c r="P52" s="5">
        <f t="shared" si="1"/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ht="19.95" customHeight="1" spans="1:4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>
        <f>IF(M53="", "", IFERROR(VLOOKUP(IF(ISNUMBER(M53),TEXT(M53,"0"),M53), _MAPPINGS!$A$1:$C$24, 2, FALSE), 1))</f>
      </c>
      <c r="O53" s="5">
        <f>IF(M53="", "", IFERROR(VLOOKUP(IF(ISNUMBER(M53),TEXT(M53,"0"),M53), _MAPPINGS!$A$1:$C$24, 3, FALSE), 1))</f>
      </c>
      <c r="P53" s="5">
        <f t="shared" si="1"/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ht="19.95" customHeight="1" spans="1:4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f>IF(M54="", "", IFERROR(VLOOKUP(IF(ISNUMBER(M54),TEXT(M54,"0"),M54), _MAPPINGS!$A$1:$C$24, 2, FALSE), 1))</f>
      </c>
      <c r="O54" s="5">
        <f>IF(M54="", "", IFERROR(VLOOKUP(IF(ISNUMBER(M54),TEXT(M54,"0"),M54), _MAPPINGS!$A$1:$C$24, 3, FALSE), 1))</f>
      </c>
      <c r="P54" s="5">
        <f t="shared" si="1"/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ht="19.95" customHeight="1" spans="1:4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f>IF(M55="", "", IFERROR(VLOOKUP(IF(ISNUMBER(M55),TEXT(M55,"0"),M55), _MAPPINGS!$A$1:$C$24, 2, FALSE), 1))</f>
      </c>
      <c r="O55" s="5">
        <f>IF(M55="", "", IFERROR(VLOOKUP(IF(ISNUMBER(M55),TEXT(M55,"0"),M55), _MAPPINGS!$A$1:$C$24, 3, FALSE), 1))</f>
      </c>
      <c r="P55" s="5">
        <f t="shared" si="1"/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ht="19.95" customHeight="1" spans="1:4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f>IF(M56="", "", IFERROR(VLOOKUP(IF(ISNUMBER(M56),TEXT(M56,"0"),M56), _MAPPINGS!$A$1:$C$24, 2, FALSE), 1))</f>
      </c>
      <c r="O56" s="5">
        <f>IF(M56="", "", IFERROR(VLOOKUP(IF(ISNUMBER(M56),TEXT(M56,"0"),M56), _MAPPINGS!$A$1:$C$24, 3, FALSE), 1))</f>
      </c>
      <c r="P56" s="5">
        <f t="shared" si="1"/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ht="19.95" customHeight="1" spans="1:4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f>IF(M57="", "", IFERROR(VLOOKUP(IF(ISNUMBER(M57),TEXT(M57,"0"),M57), _MAPPINGS!$A$1:$C$24, 2, FALSE), 1))</f>
      </c>
      <c r="O57" s="5">
        <f>IF(M57="", "", IFERROR(VLOOKUP(IF(ISNUMBER(M57),TEXT(M57,"0"),M57), _MAPPINGS!$A$1:$C$24, 3, FALSE), 1))</f>
      </c>
      <c r="P57" s="5">
        <f t="shared" si="1"/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ht="19.95" customHeight="1" spans="1:4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f>IF(M58="", "", IFERROR(VLOOKUP(IF(ISNUMBER(M58),TEXT(M58,"0"),M58), _MAPPINGS!$A$1:$C$24, 2, FALSE), 1))</f>
      </c>
      <c r="O58" s="5">
        <f>IF(M58="", "", IFERROR(VLOOKUP(IF(ISNUMBER(M58),TEXT(M58,"0"),M58), _MAPPINGS!$A$1:$C$24, 3, FALSE), 1))</f>
      </c>
      <c r="P58" s="5">
        <f t="shared" si="1"/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ht="19.95" customHeight="1" spans="1:4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f>IF(M59="", "", IFERROR(VLOOKUP(IF(ISNUMBER(M59),TEXT(M59,"0"),M59), _MAPPINGS!$A$1:$C$24, 2, FALSE), 1))</f>
      </c>
      <c r="O59" s="5">
        <f>IF(M59="", "", IFERROR(VLOOKUP(IF(ISNUMBER(M59),TEXT(M59,"0"),M59), _MAPPINGS!$A$1:$C$24, 3, FALSE), 1))</f>
      </c>
      <c r="P59" s="5">
        <f t="shared" si="1"/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ht="19.95" customHeight="1" spans="1:4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f>IF(M60="", "", IFERROR(VLOOKUP(IF(ISNUMBER(M60),TEXT(M60,"0"),M60), _MAPPINGS!$A$1:$C$24, 2, FALSE), 1))</f>
      </c>
      <c r="O60" s="5">
        <f>IF(M60="", "", IFERROR(VLOOKUP(IF(ISNUMBER(M60),TEXT(M60,"0"),M60), _MAPPINGS!$A$1:$C$24, 3, FALSE), 1))</f>
      </c>
      <c r="P60" s="5">
        <f t="shared" si="1"/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ht="19.95" customHeight="1" spans="1:4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f>IF(M61="", "", IFERROR(VLOOKUP(IF(ISNUMBER(M61),TEXT(M61,"0"),M61), _MAPPINGS!$A$1:$C$24, 2, FALSE), 1))</f>
      </c>
      <c r="O61" s="5">
        <f>IF(M61="", "", IFERROR(VLOOKUP(IF(ISNUMBER(M61),TEXT(M61,"0"),M61), _MAPPINGS!$A$1:$C$24, 3, FALSE), 1))</f>
      </c>
      <c r="P61" s="5">
        <f t="shared" si="1"/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ht="19.95" customHeight="1" spans="1:4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f>IF(M62="", "", IFERROR(VLOOKUP(IF(ISNUMBER(M62),TEXT(M62,"0"),M62), _MAPPINGS!$A$1:$C$24, 2, FALSE), 1))</f>
      </c>
      <c r="O62" s="5">
        <f>IF(M62="", "", IFERROR(VLOOKUP(IF(ISNUMBER(M62),TEXT(M62,"0"),M62), _MAPPINGS!$A$1:$C$24, 3, FALSE), 1))</f>
      </c>
      <c r="P62" s="5">
        <f t="shared" si="1"/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ht="19.95" customHeight="1" spans="1:4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f>IF(M63="", "", IFERROR(VLOOKUP(IF(ISNUMBER(M63),TEXT(M63,"0"),M63), _MAPPINGS!$A$1:$C$24, 2, FALSE), 1))</f>
      </c>
      <c r="O63" s="5">
        <f>IF(M63="", "", IFERROR(VLOOKUP(IF(ISNUMBER(M63),TEXT(M63,"0"),M63), _MAPPINGS!$A$1:$C$24, 3, FALSE), 1))</f>
      </c>
      <c r="P63" s="5">
        <f t="shared" si="1"/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ht="19.95" customHeight="1" spans="1:4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f>IF(M64="", "", IFERROR(VLOOKUP(IF(ISNUMBER(M64),TEXT(M64,"0"),M64), _MAPPINGS!$A$1:$C$24, 2, FALSE), 1))</f>
      </c>
      <c r="O64" s="5">
        <f>IF(M64="", "", IFERROR(VLOOKUP(IF(ISNUMBER(M64),TEXT(M64,"0"),M64), _MAPPINGS!$A$1:$C$24, 3, FALSE), 1))</f>
      </c>
      <c r="P64" s="5">
        <f t="shared" si="1"/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ht="19.95" customHeight="1" spans="1:4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f>IF(M65="", "", IFERROR(VLOOKUP(IF(ISNUMBER(M65),TEXT(M65,"0"),M65), _MAPPINGS!$A$1:$C$24, 2, FALSE), 1))</f>
      </c>
      <c r="O65" s="5">
        <f>IF(M65="", "", IFERROR(VLOOKUP(IF(ISNUMBER(M65),TEXT(M65,"0"),M65), _MAPPINGS!$A$1:$C$24, 3, FALSE), 1))</f>
      </c>
      <c r="P65" s="5">
        <f t="shared" si="1"/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ht="19.95" customHeight="1" spans="1:4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>
        <f>IF(M66="", "", IFERROR(VLOOKUP(IF(ISNUMBER(M66),TEXT(M66,"0"),M66), _MAPPINGS!$A$1:$C$24, 2, FALSE), 1))</f>
      </c>
      <c r="O66" s="5">
        <f>IF(M66="", "", IFERROR(VLOOKUP(IF(ISNUMBER(M66),TEXT(M66,"0"),M66), _MAPPINGS!$A$1:$C$24, 3, FALSE), 1))</f>
      </c>
      <c r="P66" s="5">
        <f t="shared" si="1"/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ht="19.95" customHeight="1" spans="1:4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IF(M67="", "", IFERROR(VLOOKUP(IF(ISNUMBER(M67),TEXT(M67,"0"),M67), _MAPPINGS!$A$1:$C$24, 2, FALSE), 1))</f>
      </c>
      <c r="O67" s="5">
        <f>IF(M67="", "", IFERROR(VLOOKUP(IF(ISNUMBER(M67),TEXT(M67,"0"),M67), _MAPPINGS!$A$1:$C$24, 3, FALSE), 1))</f>
      </c>
      <c r="P67" s="5">
        <f t="shared" si="1"/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ht="19.95" customHeight="1" spans="1:4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f>IF(M68="", "", IFERROR(VLOOKUP(IF(ISNUMBER(M68),TEXT(M68,"0"),M68), _MAPPINGS!$A$1:$C$24, 2, FALSE), 1))</f>
      </c>
      <c r="O68" s="5">
        <f>IF(M68="", "", IFERROR(VLOOKUP(IF(ISNUMBER(M68),TEXT(M68,"0"),M68), _MAPPINGS!$A$1:$C$24, 3, FALSE), 1))</f>
      </c>
      <c r="P68" s="5">
        <f t="shared" ref="P68:P99" si="2">IF(AND(N68&lt;&gt;"", O68&lt;&gt;""), N68*O68, "")</f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ht="19.95" customHeight="1" spans="1:4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f>IF(M69="", "", IFERROR(VLOOKUP(IF(ISNUMBER(M69),TEXT(M69,"0"),M69), _MAPPINGS!$A$1:$C$24, 2, FALSE), 1))</f>
      </c>
      <c r="O69" s="5">
        <f>IF(M69="", "", IFERROR(VLOOKUP(IF(ISNUMBER(M69),TEXT(M69,"0"),M69), _MAPPINGS!$A$1:$C$24, 3, FALSE), 1))</f>
      </c>
      <c r="P69" s="5">
        <f t="shared" si="2"/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ht="19.95" customHeight="1" spans="1:4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f>IF(M70="", "", IFERROR(VLOOKUP(IF(ISNUMBER(M70),TEXT(M70,"0"),M70), _MAPPINGS!$A$1:$C$24, 2, FALSE), 1))</f>
      </c>
      <c r="O70" s="5">
        <f>IF(M70="", "", IFERROR(VLOOKUP(IF(ISNUMBER(M70),TEXT(M70,"0"),M70), _MAPPINGS!$A$1:$C$24, 3, FALSE), 1))</f>
      </c>
      <c r="P70" s="5">
        <f t="shared" si="2"/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ht="19.95" customHeight="1" spans="1:4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f>IF(M71="", "", IFERROR(VLOOKUP(IF(ISNUMBER(M71),TEXT(M71,"0"),M71), _MAPPINGS!$A$1:$C$24, 2, FALSE), 1))</f>
      </c>
      <c r="O71" s="5">
        <f>IF(M71="", "", IFERROR(VLOOKUP(IF(ISNUMBER(M71),TEXT(M71,"0"),M71), _MAPPINGS!$A$1:$C$24, 3, FALSE), 1))</f>
      </c>
      <c r="P71" s="5">
        <f t="shared" si="2"/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ht="19.95" customHeight="1" spans="1:4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f>IF(M72="", "", IFERROR(VLOOKUP(IF(ISNUMBER(M72),TEXT(M72,"0"),M72), _MAPPINGS!$A$1:$C$24, 2, FALSE), 1))</f>
      </c>
      <c r="O72" s="5">
        <f>IF(M72="", "", IFERROR(VLOOKUP(IF(ISNUMBER(M72),TEXT(M72,"0"),M72), _MAPPINGS!$A$1:$C$24, 3, FALSE), 1))</f>
      </c>
      <c r="P72" s="5">
        <f t="shared" si="2"/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ht="19.95" customHeight="1" spans="1:4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f>IF(M73="", "", IFERROR(VLOOKUP(IF(ISNUMBER(M73),TEXT(M73,"0"),M73), _MAPPINGS!$A$1:$C$24, 2, FALSE), 1))</f>
      </c>
      <c r="O73" s="5">
        <f>IF(M73="", "", IFERROR(VLOOKUP(IF(ISNUMBER(M73),TEXT(M73,"0"),M73), _MAPPINGS!$A$1:$C$24, 3, FALSE), 1))</f>
      </c>
      <c r="P73" s="5">
        <f t="shared" si="2"/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ht="19.95" customHeight="1" spans="1:4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f>IF(M74="", "", IFERROR(VLOOKUP(IF(ISNUMBER(M74),TEXT(M74,"0"),M74), _MAPPINGS!$A$1:$C$24, 2, FALSE), 1))</f>
      </c>
      <c r="O74" s="5">
        <f>IF(M74="", "", IFERROR(VLOOKUP(IF(ISNUMBER(M74),TEXT(M74,"0"),M74), _MAPPINGS!$A$1:$C$24, 3, FALSE), 1))</f>
      </c>
      <c r="P74" s="5">
        <f t="shared" si="2"/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ht="19.95" customHeight="1" spans="1:4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>
        <f>IF(M75="", "", IFERROR(VLOOKUP(IF(ISNUMBER(M75),TEXT(M75,"0"),M75), _MAPPINGS!$A$1:$C$24, 2, FALSE), 1))</f>
      </c>
      <c r="O75" s="5">
        <f>IF(M75="", "", IFERROR(VLOOKUP(IF(ISNUMBER(M75),TEXT(M75,"0"),M75), _MAPPINGS!$A$1:$C$24, 3, FALSE), 1))</f>
      </c>
      <c r="P75" s="5">
        <f t="shared" si="2"/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 ht="19.95" customHeight="1" spans="1:4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>
        <f>IF(M76="", "", IFERROR(VLOOKUP(IF(ISNUMBER(M76),TEXT(M76,"0"),M76), _MAPPINGS!$A$1:$C$24, 2, FALSE), 1))</f>
      </c>
      <c r="O76" s="5">
        <f>IF(M76="", "", IFERROR(VLOOKUP(IF(ISNUMBER(M76),TEXT(M76,"0"),M76), _MAPPINGS!$A$1:$C$24, 3, FALSE), 1))</f>
      </c>
      <c r="P76" s="5">
        <f t="shared" si="2"/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ht="19.95" customHeight="1" spans="1:4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f>IF(M77="", "", IFERROR(VLOOKUP(IF(ISNUMBER(M77),TEXT(M77,"0"),M77), _MAPPINGS!$A$1:$C$24, 2, FALSE), 1))</f>
      </c>
      <c r="O77" s="5">
        <f>IF(M77="", "", IFERROR(VLOOKUP(IF(ISNUMBER(M77),TEXT(M77,"0"),M77), _MAPPINGS!$A$1:$C$24, 3, FALSE), 1))</f>
      </c>
      <c r="P77" s="5">
        <f t="shared" si="2"/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 ht="19.95" customHeight="1" spans="1:4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f>IF(M78="", "", IFERROR(VLOOKUP(IF(ISNUMBER(M78),TEXT(M78,"0"),M78), _MAPPINGS!$A$1:$C$24, 2, FALSE), 1))</f>
      </c>
      <c r="O78" s="5">
        <f>IF(M78="", "", IFERROR(VLOOKUP(IF(ISNUMBER(M78),TEXT(M78,"0"),M78), _MAPPINGS!$A$1:$C$24, 3, FALSE), 1))</f>
      </c>
      <c r="P78" s="5">
        <f t="shared" si="2"/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 ht="19.95" customHeight="1" spans="1:4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>
        <f>IF(M79="", "", IFERROR(VLOOKUP(IF(ISNUMBER(M79),TEXT(M79,"0"),M79), _MAPPINGS!$A$1:$C$24, 2, FALSE), 1))</f>
      </c>
      <c r="O79" s="5">
        <f>IF(M79="", "", IFERROR(VLOOKUP(IF(ISNUMBER(M79),TEXT(M79,"0"),M79), _MAPPINGS!$A$1:$C$24, 3, FALSE), 1))</f>
      </c>
      <c r="P79" s="5">
        <f t="shared" si="2"/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 ht="19.95" customHeight="1" spans="1:4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f>IF(M80="", "", IFERROR(VLOOKUP(IF(ISNUMBER(M80),TEXT(M80,"0"),M80), _MAPPINGS!$A$1:$C$24, 2, FALSE), 1))</f>
      </c>
      <c r="O80" s="5">
        <f>IF(M80="", "", IFERROR(VLOOKUP(IF(ISNUMBER(M80),TEXT(M80,"0"),M80), _MAPPINGS!$A$1:$C$24, 3, FALSE), 1))</f>
      </c>
      <c r="P80" s="5">
        <f t="shared" si="2"/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ht="19.95" customHeight="1" spans="1:4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f>IF(M81="", "", IFERROR(VLOOKUP(IF(ISNUMBER(M81),TEXT(M81,"0"),M81), _MAPPINGS!$A$1:$C$24, 2, FALSE), 1))</f>
      </c>
      <c r="O81" s="5">
        <f>IF(M81="", "", IFERROR(VLOOKUP(IF(ISNUMBER(M81),TEXT(M81,"0"),M81), _MAPPINGS!$A$1:$C$24, 3, FALSE), 1))</f>
      </c>
      <c r="P81" s="5">
        <f t="shared" si="2"/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 ht="19.95" customHeight="1" spans="1:4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f>IF(M82="", "", IFERROR(VLOOKUP(IF(ISNUMBER(M82),TEXT(M82,"0"),M82), _MAPPINGS!$A$1:$C$24, 2, FALSE), 1))</f>
      </c>
      <c r="O82" s="5">
        <f>IF(M82="", "", IFERROR(VLOOKUP(IF(ISNUMBER(M82),TEXT(M82,"0"),M82), _MAPPINGS!$A$1:$C$24, 3, FALSE), 1))</f>
      </c>
      <c r="P82" s="5">
        <f t="shared" si="2"/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 ht="19.95" customHeight="1" spans="1:4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f>IF(M83="", "", IFERROR(VLOOKUP(IF(ISNUMBER(M83),TEXT(M83,"0"),M83), _MAPPINGS!$A$1:$C$24, 2, FALSE), 1))</f>
      </c>
      <c r="O83" s="5">
        <f>IF(M83="", "", IFERROR(VLOOKUP(IF(ISNUMBER(M83),TEXT(M83,"0"),M83), _MAPPINGS!$A$1:$C$24, 3, FALSE), 1))</f>
      </c>
      <c r="P83" s="5">
        <f t="shared" si="2"/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 ht="19.95" customHeight="1" spans="1:4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f>IF(M84="", "", IFERROR(VLOOKUP(IF(ISNUMBER(M84),TEXT(M84,"0"),M84), _MAPPINGS!$A$1:$C$24, 2, FALSE), 1))</f>
      </c>
      <c r="O84" s="5">
        <f>IF(M84="", "", IFERROR(VLOOKUP(IF(ISNUMBER(M84),TEXT(M84,"0"),M84), _MAPPINGS!$A$1:$C$24, 3, FALSE), 1))</f>
      </c>
      <c r="P84" s="5">
        <f t="shared" si="2"/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ht="19.95" customHeight="1" spans="1:4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f>IF(M85="", "", IFERROR(VLOOKUP(IF(ISNUMBER(M85),TEXT(M85,"0"),M85), _MAPPINGS!$A$1:$C$24, 2, FALSE), 1))</f>
      </c>
      <c r="O85" s="5">
        <f>IF(M85="", "", IFERROR(VLOOKUP(IF(ISNUMBER(M85),TEXT(M85,"0"),M85), _MAPPINGS!$A$1:$C$24, 3, FALSE), 1))</f>
      </c>
      <c r="P85" s="5">
        <f t="shared" si="2"/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 ht="19.95" customHeight="1" spans="1:4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f>IF(M86="", "", IFERROR(VLOOKUP(IF(ISNUMBER(M86),TEXT(M86,"0"),M86), _MAPPINGS!$A$1:$C$24, 2, FALSE), 1))</f>
      </c>
      <c r="O86" s="5">
        <f>IF(M86="", "", IFERROR(VLOOKUP(IF(ISNUMBER(M86),TEXT(M86,"0"),M86), _MAPPINGS!$A$1:$C$24, 3, FALSE), 1))</f>
      </c>
      <c r="P86" s="5">
        <f t="shared" si="2"/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 ht="19.95" customHeight="1" spans="1:4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f>IF(M87="", "", IFERROR(VLOOKUP(IF(ISNUMBER(M87),TEXT(M87,"0"),M87), _MAPPINGS!$A$1:$C$24, 2, FALSE), 1))</f>
      </c>
      <c r="O87" s="5">
        <f>IF(M87="", "", IFERROR(VLOOKUP(IF(ISNUMBER(M87),TEXT(M87,"0"),M87), _MAPPINGS!$A$1:$C$24, 3, FALSE), 1))</f>
      </c>
      <c r="P87" s="5">
        <f t="shared" si="2"/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 ht="19.95" customHeight="1" spans="1:4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f>IF(M88="", "", IFERROR(VLOOKUP(IF(ISNUMBER(M88),TEXT(M88,"0"),M88), _MAPPINGS!$A$1:$C$24, 2, FALSE), 1))</f>
      </c>
      <c r="O88" s="5">
        <f>IF(M88="", "", IFERROR(VLOOKUP(IF(ISNUMBER(M88),TEXT(M88,"0"),M88), _MAPPINGS!$A$1:$C$24, 3, FALSE), 1))</f>
      </c>
      <c r="P88" s="5">
        <f t="shared" si="2"/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 ht="19.95" customHeight="1" spans="1:4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f>IF(M89="", "", IFERROR(VLOOKUP(IF(ISNUMBER(M89),TEXT(M89,"0"),M89), _MAPPINGS!$A$1:$C$24, 2, FALSE), 1))</f>
      </c>
      <c r="O89" s="5">
        <f>IF(M89="", "", IFERROR(VLOOKUP(IF(ISNUMBER(M89),TEXT(M89,"0"),M89), _MAPPINGS!$A$1:$C$24, 3, FALSE), 1))</f>
      </c>
      <c r="P89" s="5">
        <f t="shared" si="2"/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ht="19.95" customHeight="1" spans="1:4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f>IF(M90="", "", IFERROR(VLOOKUP(IF(ISNUMBER(M90),TEXT(M90,"0"),M90), _MAPPINGS!$A$1:$C$24, 2, FALSE), 1))</f>
      </c>
      <c r="O90" s="5">
        <f>IF(M90="", "", IFERROR(VLOOKUP(IF(ISNUMBER(M90),TEXT(M90,"0"),M90), _MAPPINGS!$A$1:$C$24, 3, FALSE), 1))</f>
      </c>
      <c r="P90" s="5">
        <f t="shared" si="2"/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 ht="19.95" customHeight="1" spans="1:4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f>IF(M91="", "", IFERROR(VLOOKUP(IF(ISNUMBER(M91),TEXT(M91,"0"),M91), _MAPPINGS!$A$1:$C$24, 2, FALSE), 1))</f>
      </c>
      <c r="O91" s="5">
        <f>IF(M91="", "", IFERROR(VLOOKUP(IF(ISNUMBER(M91),TEXT(M91,"0"),M91), _MAPPINGS!$A$1:$C$24, 3, FALSE), 1))</f>
      </c>
      <c r="P91" s="5">
        <f t="shared" si="2"/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 ht="19.95" customHeight="1" spans="1:4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f>IF(M92="", "", IFERROR(VLOOKUP(IF(ISNUMBER(M92),TEXT(M92,"0"),M92), _MAPPINGS!$A$1:$C$24, 2, FALSE), 1))</f>
      </c>
      <c r="O92" s="5">
        <f>IF(M92="", "", IFERROR(VLOOKUP(IF(ISNUMBER(M92),TEXT(M92,"0"),M92), _MAPPINGS!$A$1:$C$24, 3, FALSE), 1))</f>
      </c>
      <c r="P92" s="5">
        <f t="shared" si="2"/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 ht="19.95" customHeight="1" spans="1:4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f>IF(M93="", "", IFERROR(VLOOKUP(IF(ISNUMBER(M93),TEXT(M93,"0"),M93), _MAPPINGS!$A$1:$C$24, 2, FALSE), 1))</f>
      </c>
      <c r="O93" s="5">
        <f>IF(M93="", "", IFERROR(VLOOKUP(IF(ISNUMBER(M93),TEXT(M93,"0"),M93), _MAPPINGS!$A$1:$C$24, 3, FALSE), 1))</f>
      </c>
      <c r="P93" s="5">
        <f t="shared" si="2"/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ht="19.95" customHeight="1" spans="1:4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f>IF(M94="", "", IFERROR(VLOOKUP(IF(ISNUMBER(M94),TEXT(M94,"0"),M94), _MAPPINGS!$A$1:$C$24, 2, FALSE), 1))</f>
      </c>
      <c r="O94" s="5">
        <f>IF(M94="", "", IFERROR(VLOOKUP(IF(ISNUMBER(M94),TEXT(M94,"0"),M94), _MAPPINGS!$A$1:$C$24, 3, FALSE), 1))</f>
      </c>
      <c r="P94" s="5">
        <f t="shared" si="2"/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 ht="19.95" customHeight="1" spans="1:4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f>IF(M95="", "", IFERROR(VLOOKUP(IF(ISNUMBER(M95),TEXT(M95,"0"),M95), _MAPPINGS!$A$1:$C$24, 2, FALSE), 1))</f>
      </c>
      <c r="O95" s="5">
        <f>IF(M95="", "", IFERROR(VLOOKUP(IF(ISNUMBER(M95),TEXT(M95,"0"),M95), _MAPPINGS!$A$1:$C$24, 3, FALSE), 1))</f>
      </c>
      <c r="P95" s="5">
        <f t="shared" si="2"/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 ht="19.95" customHeight="1" spans="1:4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f>IF(M96="", "", IFERROR(VLOOKUP(IF(ISNUMBER(M96),TEXT(M96,"0"),M96), _MAPPINGS!$A$1:$C$24, 2, FALSE), 1))</f>
      </c>
      <c r="O96" s="5">
        <f>IF(M96="", "", IFERROR(VLOOKUP(IF(ISNUMBER(M96),TEXT(M96,"0"),M96), _MAPPINGS!$A$1:$C$24, 3, FALSE), 1))</f>
      </c>
      <c r="P96" s="5">
        <f t="shared" si="2"/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 ht="19.95" customHeight="1" spans="1:4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f>IF(M97="", "", IFERROR(VLOOKUP(IF(ISNUMBER(M97),TEXT(M97,"0"),M97), _MAPPINGS!$A$1:$C$24, 2, FALSE), 1))</f>
      </c>
      <c r="O97" s="5">
        <f>IF(M97="", "", IFERROR(VLOOKUP(IF(ISNUMBER(M97),TEXT(M97,"0"),M97), _MAPPINGS!$A$1:$C$24, 3, FALSE), 1))</f>
      </c>
      <c r="P97" s="5">
        <f t="shared" si="2"/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ht="19.95" customHeight="1" spans="1:4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f>IF(M98="", "", IFERROR(VLOOKUP(IF(ISNUMBER(M98),TEXT(M98,"0"),M98), _MAPPINGS!$A$1:$C$24, 2, FALSE), 1))</f>
      </c>
      <c r="O98" s="5">
        <f>IF(M98="", "", IFERROR(VLOOKUP(IF(ISNUMBER(M98),TEXT(M98,"0"),M98), _MAPPINGS!$A$1:$C$24, 3, FALSE), 1))</f>
      </c>
      <c r="P98" s="5">
        <f t="shared" si="2"/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 ht="19.95" customHeight="1" spans="1:4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f>IF(M99="", "", IFERROR(VLOOKUP(IF(ISNUMBER(M99),TEXT(M99,"0"),M99), _MAPPINGS!$A$1:$C$24, 2, FALSE), 1))</f>
      </c>
      <c r="O99" s="5">
        <f>IF(M99="", "", IFERROR(VLOOKUP(IF(ISNUMBER(M99),TEXT(M99,"0"),M99), _MAPPINGS!$A$1:$C$24, 3, FALSE), 1))</f>
      </c>
      <c r="P99" s="5">
        <f t="shared" si="2"/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 ht="19.95" customHeight="1" spans="1:4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>
        <f>IF(M100="", "", IFERROR(VLOOKUP(IF(ISNUMBER(M100),TEXT(M100,"0"),M100), _MAPPINGS!$A$1:$C$24, 2, FALSE), 1))</f>
      </c>
      <c r="O100" s="5">
        <f>IF(M100="", "", IFERROR(VLOOKUP(IF(ISNUMBER(M100),TEXT(M100,"0"),M100), _MAPPINGS!$A$1:$C$24, 3, FALSE), 1))</f>
      </c>
      <c r="P100" s="5">
        <f t="shared" ref="P100:P131" si="3">IF(AND(N100&lt;&gt;"", O100&lt;&gt;""), N100*O100, "")</f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 ht="19.95" customHeight="1" spans="1:4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>
        <f>IF(M101="", "", IFERROR(VLOOKUP(IF(ISNUMBER(M101),TEXT(M101,"0"),M101), _MAPPINGS!$A$1:$C$24, 2, FALSE), 1))</f>
      </c>
      <c r="O101" s="5">
        <f>IF(M101="", "", IFERROR(VLOOKUP(IF(ISNUMBER(M101),TEXT(M101,"0"),M101), _MAPPINGS!$A$1:$C$24, 3, FALSE), 1))</f>
      </c>
      <c r="P101" s="5">
        <f t="shared" si="3"/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 ht="19.95" customHeight="1" spans="1:4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>
        <f>IF(M102="", "", IFERROR(VLOOKUP(IF(ISNUMBER(M102),TEXT(M102,"0"),M102), _MAPPINGS!$A$1:$C$24, 2, FALSE), 1))</f>
      </c>
      <c r="O102" s="5">
        <f>IF(M102="", "", IFERROR(VLOOKUP(IF(ISNUMBER(M102),TEXT(M102,"0"),M102), _MAPPINGS!$A$1:$C$24, 3, FALSE), 1))</f>
      </c>
      <c r="P102" s="5">
        <f t="shared" si="3"/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 ht="19.95" customHeight="1" spans="1:4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>
        <f>IF(M103="", "", IFERROR(VLOOKUP(IF(ISNUMBER(M103),TEXT(M103,"0"),M103), _MAPPINGS!$A$1:$C$24, 2, FALSE), 1))</f>
      </c>
      <c r="O103" s="5">
        <f>IF(M103="", "", IFERROR(VLOOKUP(IF(ISNUMBER(M103),TEXT(M103,"0"),M103), _MAPPINGS!$A$1:$C$24, 3, FALSE), 1))</f>
      </c>
      <c r="P103" s="5">
        <f t="shared" si="3"/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 ht="19.95" customHeight="1" spans="1:4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>
        <f>IF(M104="", "", IFERROR(VLOOKUP(IF(ISNUMBER(M104),TEXT(M104,"0"),M104), _MAPPINGS!$A$1:$C$24, 2, FALSE), 1))</f>
      </c>
      <c r="O104" s="5">
        <f>IF(M104="", "", IFERROR(VLOOKUP(IF(ISNUMBER(M104),TEXT(M104,"0"),M104), _MAPPINGS!$A$1:$C$24, 3, FALSE), 1))</f>
      </c>
      <c r="P104" s="5">
        <f t="shared" si="3"/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 spans="3:41" x14ac:dyDescent="0.25">
      <c r="N105" s="7">
        <f>IF(M105="", "", IFERROR(VLOOKUP(IF(ISNUMBER(M105),TEXT(M105,"0"),M105), _MAPPINGS!$A$1:$C$24, 2, FALSE), 1))</f>
      </c>
      <c r="O105" s="7">
        <f>IF(M105="", "", IFERROR(VLOOKUP(IF(ISNUMBER(M105),TEXT(M105,"0"),M105), _MAPPINGS!$A$1:$C$24, 3, FALSE), 1))</f>
      </c>
      <c r="P105" s="7">
        <f t="shared" si="3"/>
      </c>
      <c r="AN105" s="8"/>
      <c r="AO105" s="8"/>
    </row>
    <row r="106" spans="3:41" x14ac:dyDescent="0.25">
      <c r="N106" s="7">
        <f>IF(M106="", "", IFERROR(VLOOKUP(IF(ISNUMBER(M106),TEXT(M106,"0"),M106), _MAPPINGS!$A$1:$C$24, 2, FALSE), 1))</f>
      </c>
      <c r="O106" s="7">
        <f>IF(M106="", "", IFERROR(VLOOKUP(IF(ISNUMBER(M106),TEXT(M106,"0"),M106), _MAPPINGS!$A$1:$C$24, 3, FALSE), 1))</f>
      </c>
      <c r="P106" s="7">
        <f t="shared" si="3"/>
      </c>
      <c r="AN106" s="8"/>
      <c r="AO106" s="8"/>
    </row>
    <row r="107" spans="3:41" x14ac:dyDescent="0.25">
      <c r="N107" s="7">
        <f>IF(M107="", "", IFERROR(VLOOKUP(IF(ISNUMBER(M107),TEXT(M107,"0"),M107), _MAPPINGS!$A$1:$C$24, 2, FALSE), 1))</f>
      </c>
      <c r="O107" s="7">
        <f>IF(M107="", "", IFERROR(VLOOKUP(IF(ISNUMBER(M107),TEXT(M107,"0"),M107), _MAPPINGS!$A$1:$C$24, 3, FALSE), 1))</f>
      </c>
      <c r="P107" s="7">
        <f t="shared" si="3"/>
      </c>
      <c r="AN107" s="8"/>
      <c r="AO107" s="8"/>
    </row>
    <row r="108" spans="3:41" x14ac:dyDescent="0.25">
      <c r="N108" s="7">
        <f>IF(M108="", "", IFERROR(VLOOKUP(IF(ISNUMBER(M108),TEXT(M108,"0"),M108), _MAPPINGS!$A$1:$C$24, 2, FALSE), 1))</f>
      </c>
      <c r="O108" s="7">
        <f>IF(M108="", "", IFERROR(VLOOKUP(IF(ISNUMBER(M108),TEXT(M108,"0"),M108), _MAPPINGS!$A$1:$C$24, 3, FALSE), 1))</f>
      </c>
      <c r="P108" s="7">
        <f t="shared" si="3"/>
      </c>
      <c r="AN108" s="8"/>
      <c r="AO108" s="8"/>
    </row>
    <row r="109" spans="3:41" x14ac:dyDescent="0.25">
      <c r="N109" s="7">
        <f>IF(M109="", "", IFERROR(VLOOKUP(IF(ISNUMBER(M109),TEXT(M109,"0"),M109), _MAPPINGS!$A$1:$C$24, 2, FALSE), 1))</f>
      </c>
      <c r="O109" s="7">
        <f>IF(M109="", "", IFERROR(VLOOKUP(IF(ISNUMBER(M109),TEXT(M109,"0"),M109), _MAPPINGS!$A$1:$C$24, 3, FALSE), 1))</f>
      </c>
      <c r="P109" s="7">
        <f t="shared" si="3"/>
      </c>
      <c r="AN109" s="8"/>
      <c r="AO109" s="8"/>
    </row>
    <row r="110" spans="3:41" x14ac:dyDescent="0.25">
      <c r="N110" s="7">
        <f>IF(M110="", "", IFERROR(VLOOKUP(IF(ISNUMBER(M110),TEXT(M110,"0"),M110), _MAPPINGS!$A$1:$C$24, 2, FALSE), 1))</f>
      </c>
      <c r="O110" s="7">
        <f>IF(M110="", "", IFERROR(VLOOKUP(IF(ISNUMBER(M110),TEXT(M110,"0"),M110), _MAPPINGS!$A$1:$C$24, 3, FALSE), 1))</f>
      </c>
      <c r="P110" s="7">
        <f t="shared" si="3"/>
      </c>
      <c r="AN110" s="8"/>
      <c r="AO110" s="8"/>
    </row>
    <row r="111" spans="3:41" x14ac:dyDescent="0.25">
      <c r="N111" s="7">
        <f>IF(M111="", "", IFERROR(VLOOKUP(IF(ISNUMBER(M111),TEXT(M111,"0"),M111), _MAPPINGS!$A$1:$C$24, 2, FALSE), 1))</f>
      </c>
      <c r="O111" s="7">
        <f>IF(M111="", "", IFERROR(VLOOKUP(IF(ISNUMBER(M111),TEXT(M111,"0"),M111), _MAPPINGS!$A$1:$C$24, 3, FALSE), 1))</f>
      </c>
      <c r="P111" s="7">
        <f t="shared" si="3"/>
      </c>
      <c r="AN111" s="8"/>
      <c r="AO111" s="8"/>
    </row>
    <row r="112" spans="3:41" x14ac:dyDescent="0.25">
      <c r="N112" s="7">
        <f>IF(M112="", "", IFERROR(VLOOKUP(IF(ISNUMBER(M112),TEXT(M112,"0"),M112), _MAPPINGS!$A$1:$C$24, 2, FALSE), 1))</f>
      </c>
      <c r="O112" s="7">
        <f>IF(M112="", "", IFERROR(VLOOKUP(IF(ISNUMBER(M112),TEXT(M112,"0"),M112), _MAPPINGS!$A$1:$C$24, 3, FALSE), 1))</f>
      </c>
      <c r="P112" s="7">
        <f t="shared" si="3"/>
      </c>
      <c r="AN112" s="8"/>
      <c r="AO112" s="8"/>
    </row>
    <row r="113" spans="3:41" x14ac:dyDescent="0.25">
      <c r="N113" s="7">
        <f>IF(M113="", "", IFERROR(VLOOKUP(IF(ISNUMBER(M113),TEXT(M113,"0"),M113), _MAPPINGS!$A$1:$C$24, 2, FALSE), 1))</f>
      </c>
      <c r="O113" s="7">
        <f>IF(M113="", "", IFERROR(VLOOKUP(IF(ISNUMBER(M113),TEXT(M113,"0"),M113), _MAPPINGS!$A$1:$C$24, 3, FALSE), 1))</f>
      </c>
      <c r="P113" s="7">
        <f t="shared" si="3"/>
      </c>
      <c r="AN113" s="8"/>
      <c r="AO113" s="8"/>
    </row>
    <row r="114" spans="3:41" x14ac:dyDescent="0.25">
      <c r="N114" s="7">
        <f>IF(M114="", "", IFERROR(VLOOKUP(IF(ISNUMBER(M114),TEXT(M114,"0"),M114), _MAPPINGS!$A$1:$C$24, 2, FALSE), 1))</f>
      </c>
      <c r="O114" s="7">
        <f>IF(M114="", "", IFERROR(VLOOKUP(IF(ISNUMBER(M114),TEXT(M114,"0"),M114), _MAPPINGS!$A$1:$C$24, 3, FALSE), 1))</f>
      </c>
      <c r="P114" s="7">
        <f t="shared" si="3"/>
      </c>
      <c r="AN114" s="8"/>
      <c r="AO114" s="8"/>
    </row>
    <row r="115" spans="3:41" x14ac:dyDescent="0.25">
      <c r="N115" s="7">
        <f>IF(M115="", "", IFERROR(VLOOKUP(IF(ISNUMBER(M115),TEXT(M115,"0"),M115), _MAPPINGS!$A$1:$C$24, 2, FALSE), 1))</f>
      </c>
      <c r="O115" s="7">
        <f>IF(M115="", "", IFERROR(VLOOKUP(IF(ISNUMBER(M115),TEXT(M115,"0"),M115), _MAPPINGS!$A$1:$C$24, 3, FALSE), 1))</f>
      </c>
      <c r="P115" s="7">
        <f t="shared" si="3"/>
      </c>
      <c r="AN115" s="8"/>
      <c r="AO115" s="8"/>
    </row>
    <row r="116" spans="3:41" x14ac:dyDescent="0.25">
      <c r="N116" s="7">
        <f>IF(M116="", "", IFERROR(VLOOKUP(IF(ISNUMBER(M116),TEXT(M116,"0"),M116), _MAPPINGS!$A$1:$C$24, 2, FALSE), 1))</f>
      </c>
      <c r="O116" s="7">
        <f>IF(M116="", "", IFERROR(VLOOKUP(IF(ISNUMBER(M116),TEXT(M116,"0"),M116), _MAPPINGS!$A$1:$C$24, 3, FALSE), 1))</f>
      </c>
      <c r="P116" s="7">
        <f t="shared" si="3"/>
      </c>
      <c r="AN116" s="8"/>
      <c r="AO116" s="8"/>
    </row>
    <row r="117" spans="3:41" x14ac:dyDescent="0.25">
      <c r="N117" s="7">
        <f>IF(M117="", "", IFERROR(VLOOKUP(IF(ISNUMBER(M117),TEXT(M117,"0"),M117), _MAPPINGS!$A$1:$C$24, 2, FALSE), 1))</f>
      </c>
      <c r="O117" s="7">
        <f>IF(M117="", "", IFERROR(VLOOKUP(IF(ISNUMBER(M117),TEXT(M117,"0"),M117), _MAPPINGS!$A$1:$C$24, 3, FALSE), 1))</f>
      </c>
      <c r="P117" s="7">
        <f t="shared" si="3"/>
      </c>
      <c r="AN117" s="8"/>
      <c r="AO117" s="8"/>
    </row>
    <row r="118" spans="3:41" x14ac:dyDescent="0.25">
      <c r="N118" s="7">
        <f>IF(M118="", "", IFERROR(VLOOKUP(IF(ISNUMBER(M118),TEXT(M118,"0"),M118), _MAPPINGS!$A$1:$C$24, 2, FALSE), 1))</f>
      </c>
      <c r="O118" s="7">
        <f>IF(M118="", "", IFERROR(VLOOKUP(IF(ISNUMBER(M118),TEXT(M118,"0"),M118), _MAPPINGS!$A$1:$C$24, 3, FALSE), 1))</f>
      </c>
      <c r="P118" s="7">
        <f t="shared" si="3"/>
      </c>
      <c r="AN118" s="8"/>
      <c r="AO118" s="8"/>
    </row>
    <row r="119" spans="3:41" x14ac:dyDescent="0.25">
      <c r="N119" s="7">
        <f>IF(M119="", "", IFERROR(VLOOKUP(IF(ISNUMBER(M119),TEXT(M119,"0"),M119), _MAPPINGS!$A$1:$C$24, 2, FALSE), 1))</f>
      </c>
      <c r="O119" s="7">
        <f>IF(M119="", "", IFERROR(VLOOKUP(IF(ISNUMBER(M119),TEXT(M119,"0"),M119), _MAPPINGS!$A$1:$C$24, 3, FALSE), 1))</f>
      </c>
      <c r="P119" s="7">
        <f t="shared" si="3"/>
      </c>
      <c r="AN119" s="8"/>
      <c r="AO119" s="8"/>
    </row>
    <row r="120" spans="3:41" x14ac:dyDescent="0.25">
      <c r="N120" s="7">
        <f>IF(M120="", "", IFERROR(VLOOKUP(IF(ISNUMBER(M120),TEXT(M120,"0"),M120), _MAPPINGS!$A$1:$C$24, 2, FALSE), 1))</f>
      </c>
      <c r="O120" s="7">
        <f>IF(M120="", "", IFERROR(VLOOKUP(IF(ISNUMBER(M120),TEXT(M120,"0"),M120), _MAPPINGS!$A$1:$C$24, 3, FALSE), 1))</f>
      </c>
      <c r="P120" s="7">
        <f t="shared" si="3"/>
      </c>
      <c r="AN120" s="8"/>
      <c r="AO120" s="8"/>
    </row>
    <row r="121" spans="3:41" x14ac:dyDescent="0.25">
      <c r="N121" s="7">
        <f>IF(M121="", "", IFERROR(VLOOKUP(IF(ISNUMBER(M121),TEXT(M121,"0"),M121), _MAPPINGS!$A$1:$C$24, 2, FALSE), 1))</f>
      </c>
      <c r="O121" s="7">
        <f>IF(M121="", "", IFERROR(VLOOKUP(IF(ISNUMBER(M121),TEXT(M121,"0"),M121), _MAPPINGS!$A$1:$C$24, 3, FALSE), 1))</f>
      </c>
      <c r="P121" s="7">
        <f t="shared" si="3"/>
      </c>
      <c r="AN121" s="8"/>
      <c r="AO121" s="8"/>
    </row>
    <row r="122" spans="3:41" x14ac:dyDescent="0.25">
      <c r="N122" s="7">
        <f>IF(M122="", "", IFERROR(VLOOKUP(IF(ISNUMBER(M122),TEXT(M122,"0"),M122), _MAPPINGS!$A$1:$C$24, 2, FALSE), 1))</f>
      </c>
      <c r="O122" s="7">
        <f>IF(M122="", "", IFERROR(VLOOKUP(IF(ISNUMBER(M122),TEXT(M122,"0"),M122), _MAPPINGS!$A$1:$C$24, 3, FALSE), 1))</f>
      </c>
      <c r="P122" s="7">
        <f t="shared" si="3"/>
      </c>
      <c r="AN122" s="8"/>
      <c r="AO122" s="8"/>
    </row>
    <row r="123" spans="3:41" x14ac:dyDescent="0.25">
      <c r="N123" s="7">
        <f>IF(M123="", "", IFERROR(VLOOKUP(IF(ISNUMBER(M123),TEXT(M123,"0"),M123), _MAPPINGS!$A$1:$C$24, 2, FALSE), 1))</f>
      </c>
      <c r="O123" s="7">
        <f>IF(M123="", "", IFERROR(VLOOKUP(IF(ISNUMBER(M123),TEXT(M123,"0"),M123), _MAPPINGS!$A$1:$C$24, 3, FALSE), 1))</f>
      </c>
      <c r="P123" s="7">
        <f t="shared" si="3"/>
      </c>
      <c r="AN123" s="8"/>
      <c r="AO123" s="8"/>
    </row>
    <row r="124" spans="3:41" x14ac:dyDescent="0.25">
      <c r="N124" s="7">
        <f>IF(M124="", "", IFERROR(VLOOKUP(IF(ISNUMBER(M124),TEXT(M124,"0"),M124), _MAPPINGS!$A$1:$C$24, 2, FALSE), 1))</f>
      </c>
      <c r="O124" s="7">
        <f>IF(M124="", "", IFERROR(VLOOKUP(IF(ISNUMBER(M124),TEXT(M124,"0"),M124), _MAPPINGS!$A$1:$C$24, 3, FALSE), 1))</f>
      </c>
      <c r="P124" s="7">
        <f t="shared" si="3"/>
      </c>
      <c r="AN124" s="8"/>
      <c r="AO124" s="8"/>
    </row>
    <row r="125" spans="3:41" x14ac:dyDescent="0.25">
      <c r="N125" s="7">
        <f>IF(M125="", "", IFERROR(VLOOKUP(IF(ISNUMBER(M125),TEXT(M125,"0"),M125), _MAPPINGS!$A$1:$C$24, 2, FALSE), 1))</f>
      </c>
      <c r="O125" s="7">
        <f>IF(M125="", "", IFERROR(VLOOKUP(IF(ISNUMBER(M125),TEXT(M125,"0"),M125), _MAPPINGS!$A$1:$C$24, 3, FALSE), 1))</f>
      </c>
      <c r="P125" s="7">
        <f t="shared" si="3"/>
      </c>
      <c r="AN125" s="8"/>
      <c r="AO125" s="8"/>
    </row>
    <row r="126" spans="3:41" x14ac:dyDescent="0.25">
      <c r="N126" s="7">
        <f>IF(M126="", "", IFERROR(VLOOKUP(IF(ISNUMBER(M126),TEXT(M126,"0"),M126), _MAPPINGS!$A$1:$C$24, 2, FALSE), 1))</f>
      </c>
      <c r="O126" s="7">
        <f>IF(M126="", "", IFERROR(VLOOKUP(IF(ISNUMBER(M126),TEXT(M126,"0"),M126), _MAPPINGS!$A$1:$C$24, 3, FALSE), 1))</f>
      </c>
      <c r="P126" s="7">
        <f t="shared" si="3"/>
      </c>
      <c r="AN126" s="8"/>
      <c r="AO126" s="8"/>
    </row>
    <row r="127" spans="3:41" x14ac:dyDescent="0.25">
      <c r="N127" s="7">
        <f>IF(M127="", "", IFERROR(VLOOKUP(IF(ISNUMBER(M127),TEXT(M127,"0"),M127), _MAPPINGS!$A$1:$C$24, 2, FALSE), 1))</f>
      </c>
      <c r="O127" s="7">
        <f>IF(M127="", "", IFERROR(VLOOKUP(IF(ISNUMBER(M127),TEXT(M127,"0"),M127), _MAPPINGS!$A$1:$C$24, 3, FALSE), 1))</f>
      </c>
      <c r="P127" s="7">
        <f t="shared" si="3"/>
      </c>
      <c r="AN127" s="8"/>
      <c r="AO127" s="8"/>
    </row>
    <row r="128" spans="3:41" x14ac:dyDescent="0.25">
      <c r="N128" s="7">
        <f>IF(M128="", "", IFERROR(VLOOKUP(IF(ISNUMBER(M128),TEXT(M128,"0"),M128), _MAPPINGS!$A$1:$C$24, 2, FALSE), 1))</f>
      </c>
      <c r="O128" s="7">
        <f>IF(M128="", "", IFERROR(VLOOKUP(IF(ISNUMBER(M128),TEXT(M128,"0"),M128), _MAPPINGS!$A$1:$C$24, 3, FALSE), 1))</f>
      </c>
      <c r="P128" s="7">
        <f t="shared" si="3"/>
      </c>
      <c r="AN128" s="8"/>
      <c r="AO128" s="8"/>
    </row>
    <row r="129" spans="3:41" x14ac:dyDescent="0.25">
      <c r="N129" s="7">
        <f>IF(M129="", "", IFERROR(VLOOKUP(IF(ISNUMBER(M129),TEXT(M129,"0"),M129), _MAPPINGS!$A$1:$C$24, 2, FALSE), 1))</f>
      </c>
      <c r="O129" s="7">
        <f>IF(M129="", "", IFERROR(VLOOKUP(IF(ISNUMBER(M129),TEXT(M129,"0"),M129), _MAPPINGS!$A$1:$C$24, 3, FALSE), 1))</f>
      </c>
      <c r="P129" s="7">
        <f t="shared" si="3"/>
      </c>
      <c r="AN129" s="8"/>
      <c r="AO129" s="8"/>
    </row>
    <row r="130" spans="3:41" x14ac:dyDescent="0.25">
      <c r="N130" s="7">
        <f>IF(M130="", "", IFERROR(VLOOKUP(IF(ISNUMBER(M130),TEXT(M130,"0"),M130), _MAPPINGS!$A$1:$C$24, 2, FALSE), 1))</f>
      </c>
      <c r="O130" s="7">
        <f>IF(M130="", "", IFERROR(VLOOKUP(IF(ISNUMBER(M130),TEXT(M130,"0"),M130), _MAPPINGS!$A$1:$C$24, 3, FALSE), 1))</f>
      </c>
      <c r="P130" s="7">
        <f t="shared" si="3"/>
      </c>
      <c r="AN130" s="8"/>
      <c r="AO130" s="8"/>
    </row>
    <row r="131" spans="3:41" x14ac:dyDescent="0.25">
      <c r="N131" s="7">
        <f>IF(M131="", "", IFERROR(VLOOKUP(IF(ISNUMBER(M131),TEXT(M131,"0"),M131), _MAPPINGS!$A$1:$C$24, 2, FALSE), 1))</f>
      </c>
      <c r="O131" s="7">
        <f>IF(M131="", "", IFERROR(VLOOKUP(IF(ISNUMBER(M131),TEXT(M131,"0"),M131), _MAPPINGS!$A$1:$C$24, 3, FALSE), 1))</f>
      </c>
      <c r="P131" s="7">
        <f t="shared" si="3"/>
      </c>
      <c r="AN131" s="8"/>
      <c r="AO131" s="8"/>
    </row>
    <row r="132" spans="3:41" x14ac:dyDescent="0.25">
      <c r="N132" s="7">
        <f>IF(M132="", "", IFERROR(VLOOKUP(IF(ISNUMBER(M132),TEXT(M132,"0"),M132), _MAPPINGS!$A$1:$C$24, 2, FALSE), 1))</f>
      </c>
      <c r="O132" s="7">
        <f>IF(M132="", "", IFERROR(VLOOKUP(IF(ISNUMBER(M132),TEXT(M132,"0"),M132), _MAPPINGS!$A$1:$C$24, 3, FALSE), 1))</f>
      </c>
      <c r="P132" s="7">
        <f t="shared" ref="P132:P163" si="4">IF(AND(N132&lt;&gt;"", O132&lt;&gt;""), N132*O132, "")</f>
      </c>
      <c r="AN132" s="8"/>
      <c r="AO132" s="8"/>
    </row>
    <row r="133" spans="3:41" x14ac:dyDescent="0.25">
      <c r="N133" s="7">
        <f>IF(M133="", "", IFERROR(VLOOKUP(IF(ISNUMBER(M133),TEXT(M133,"0"),M133), _MAPPINGS!$A$1:$C$24, 2, FALSE), 1))</f>
      </c>
      <c r="O133" s="7">
        <f>IF(M133="", "", IFERROR(VLOOKUP(IF(ISNUMBER(M133),TEXT(M133,"0"),M133), _MAPPINGS!$A$1:$C$24, 3, FALSE), 1))</f>
      </c>
      <c r="P133" s="7">
        <f t="shared" si="4"/>
      </c>
      <c r="AN133" s="8"/>
      <c r="AO133" s="8"/>
    </row>
    <row r="134" spans="3:41" x14ac:dyDescent="0.25">
      <c r="N134" s="7">
        <f>IF(M134="", "", IFERROR(VLOOKUP(IF(ISNUMBER(M134),TEXT(M134,"0"),M134), _MAPPINGS!$A$1:$C$24, 2, FALSE), 1))</f>
      </c>
      <c r="O134" s="7">
        <f>IF(M134="", "", IFERROR(VLOOKUP(IF(ISNUMBER(M134),TEXT(M134,"0"),M134), _MAPPINGS!$A$1:$C$24, 3, FALSE), 1))</f>
      </c>
      <c r="P134" s="7">
        <f t="shared" si="4"/>
      </c>
      <c r="AN134" s="8"/>
      <c r="AO134" s="8"/>
    </row>
    <row r="135" spans="3:41" x14ac:dyDescent="0.25">
      <c r="N135" s="7">
        <f>IF(M135="", "", IFERROR(VLOOKUP(IF(ISNUMBER(M135),TEXT(M135,"0"),M135), _MAPPINGS!$A$1:$C$24, 2, FALSE), 1))</f>
      </c>
      <c r="O135" s="7">
        <f>IF(M135="", "", IFERROR(VLOOKUP(IF(ISNUMBER(M135),TEXT(M135,"0"),M135), _MAPPINGS!$A$1:$C$24, 3, FALSE), 1))</f>
      </c>
      <c r="P135" s="7">
        <f t="shared" si="4"/>
      </c>
      <c r="AN135" s="8"/>
      <c r="AO135" s="8"/>
    </row>
    <row r="136" spans="3:41" x14ac:dyDescent="0.25">
      <c r="N136" s="7">
        <f>IF(M136="", "", IFERROR(VLOOKUP(IF(ISNUMBER(M136),TEXT(M136,"0"),M136), _MAPPINGS!$A$1:$C$24, 2, FALSE), 1))</f>
      </c>
      <c r="O136" s="7">
        <f>IF(M136="", "", IFERROR(VLOOKUP(IF(ISNUMBER(M136),TEXT(M136,"0"),M136), _MAPPINGS!$A$1:$C$24, 3, FALSE), 1))</f>
      </c>
      <c r="P136" s="7">
        <f t="shared" si="4"/>
      </c>
      <c r="AN136" s="8"/>
      <c r="AO136" s="8"/>
    </row>
    <row r="137" spans="3:41" x14ac:dyDescent="0.25">
      <c r="N137" s="7">
        <f>IF(M137="", "", IFERROR(VLOOKUP(IF(ISNUMBER(M137),TEXT(M137,"0"),M137), _MAPPINGS!$A$1:$C$24, 2, FALSE), 1))</f>
      </c>
      <c r="O137" s="7">
        <f>IF(M137="", "", IFERROR(VLOOKUP(IF(ISNUMBER(M137),TEXT(M137,"0"),M137), _MAPPINGS!$A$1:$C$24, 3, FALSE), 1))</f>
      </c>
      <c r="P137" s="7">
        <f t="shared" si="4"/>
      </c>
      <c r="AN137" s="8"/>
      <c r="AO137" s="8"/>
    </row>
    <row r="138" spans="3:41" x14ac:dyDescent="0.25">
      <c r="N138" s="7">
        <f>IF(M138="", "", IFERROR(VLOOKUP(IF(ISNUMBER(M138),TEXT(M138,"0"),M138), _MAPPINGS!$A$1:$C$24, 2, FALSE), 1))</f>
      </c>
      <c r="O138" s="7">
        <f>IF(M138="", "", IFERROR(VLOOKUP(IF(ISNUMBER(M138),TEXT(M138,"0"),M138), _MAPPINGS!$A$1:$C$24, 3, FALSE), 1))</f>
      </c>
      <c r="P138" s="7">
        <f t="shared" si="4"/>
      </c>
      <c r="AN138" s="8"/>
      <c r="AO138" s="8"/>
    </row>
    <row r="139" spans="3:41" x14ac:dyDescent="0.25">
      <c r="N139" s="7">
        <f>IF(M139="", "", IFERROR(VLOOKUP(IF(ISNUMBER(M139),TEXT(M139,"0"),M139), _MAPPINGS!$A$1:$C$24, 2, FALSE), 1))</f>
      </c>
      <c r="O139" s="7">
        <f>IF(M139="", "", IFERROR(VLOOKUP(IF(ISNUMBER(M139),TEXT(M139,"0"),M139), _MAPPINGS!$A$1:$C$24, 3, FALSE), 1))</f>
      </c>
      <c r="P139" s="7">
        <f t="shared" si="4"/>
      </c>
      <c r="AN139" s="8"/>
      <c r="AO139" s="8"/>
    </row>
    <row r="140" spans="3:41" x14ac:dyDescent="0.25">
      <c r="N140" s="7">
        <f>IF(M140="", "", IFERROR(VLOOKUP(IF(ISNUMBER(M140),TEXT(M140,"0"),M140), _MAPPINGS!$A$1:$C$24, 2, FALSE), 1))</f>
      </c>
      <c r="O140" s="7">
        <f>IF(M140="", "", IFERROR(VLOOKUP(IF(ISNUMBER(M140),TEXT(M140,"0"),M140), _MAPPINGS!$A$1:$C$24, 3, FALSE), 1))</f>
      </c>
      <c r="P140" s="7">
        <f t="shared" si="4"/>
      </c>
      <c r="AN140" s="8"/>
      <c r="AO140" s="8"/>
    </row>
    <row r="141" spans="3:41" x14ac:dyDescent="0.25">
      <c r="N141" s="7">
        <f>IF(M141="", "", IFERROR(VLOOKUP(IF(ISNUMBER(M141),TEXT(M141,"0"),M141), _MAPPINGS!$A$1:$C$24, 2, FALSE), 1))</f>
      </c>
      <c r="O141" s="7">
        <f>IF(M141="", "", IFERROR(VLOOKUP(IF(ISNUMBER(M141),TEXT(M141,"0"),M141), _MAPPINGS!$A$1:$C$24, 3, FALSE), 1))</f>
      </c>
      <c r="P141" s="7">
        <f t="shared" si="4"/>
      </c>
      <c r="AN141" s="8"/>
      <c r="AO141" s="8"/>
    </row>
    <row r="142" spans="3:41" x14ac:dyDescent="0.25">
      <c r="N142" s="7">
        <f>IF(M142="", "", IFERROR(VLOOKUP(IF(ISNUMBER(M142),TEXT(M142,"0"),M142), _MAPPINGS!$A$1:$C$24, 2, FALSE), 1))</f>
      </c>
      <c r="O142" s="7">
        <f>IF(M142="", "", IFERROR(VLOOKUP(IF(ISNUMBER(M142),TEXT(M142,"0"),M142), _MAPPINGS!$A$1:$C$24, 3, FALSE), 1))</f>
      </c>
      <c r="P142" s="7">
        <f t="shared" si="4"/>
      </c>
      <c r="AN142" s="8"/>
      <c r="AO142" s="8"/>
    </row>
    <row r="143" spans="3:41" x14ac:dyDescent="0.25">
      <c r="N143" s="7">
        <f>IF(M143="", "", IFERROR(VLOOKUP(IF(ISNUMBER(M143),TEXT(M143,"0"),M143), _MAPPINGS!$A$1:$C$24, 2, FALSE), 1))</f>
      </c>
      <c r="O143" s="7">
        <f>IF(M143="", "", IFERROR(VLOOKUP(IF(ISNUMBER(M143),TEXT(M143,"0"),M143), _MAPPINGS!$A$1:$C$24, 3, FALSE), 1))</f>
      </c>
      <c r="P143" s="7">
        <f t="shared" si="4"/>
      </c>
      <c r="AN143" s="8"/>
      <c r="AO143" s="8"/>
    </row>
    <row r="144" spans="3:41" x14ac:dyDescent="0.25">
      <c r="N144" s="7">
        <f>IF(M144="", "", IFERROR(VLOOKUP(IF(ISNUMBER(M144),TEXT(M144,"0"),M144), _MAPPINGS!$A$1:$C$24, 2, FALSE), 1))</f>
      </c>
      <c r="O144" s="7">
        <f>IF(M144="", "", IFERROR(VLOOKUP(IF(ISNUMBER(M144),TEXT(M144,"0"),M144), _MAPPINGS!$A$1:$C$24, 3, FALSE), 1))</f>
      </c>
      <c r="P144" s="7">
        <f t="shared" si="4"/>
      </c>
      <c r="AN144" s="8"/>
      <c r="AO144" s="8"/>
    </row>
    <row r="145" spans="3:41" x14ac:dyDescent="0.25">
      <c r="N145" s="7">
        <f>IF(M145="", "", IFERROR(VLOOKUP(IF(ISNUMBER(M145),TEXT(M145,"0"),M145), _MAPPINGS!$A$1:$C$24, 2, FALSE), 1))</f>
      </c>
      <c r="O145" s="7">
        <f>IF(M145="", "", IFERROR(VLOOKUP(IF(ISNUMBER(M145),TEXT(M145,"0"),M145), _MAPPINGS!$A$1:$C$24, 3, FALSE), 1))</f>
      </c>
      <c r="P145" s="7">
        <f t="shared" si="4"/>
      </c>
      <c r="AN145" s="8"/>
      <c r="AO145" s="8"/>
    </row>
    <row r="146" spans="3:41" x14ac:dyDescent="0.25">
      <c r="N146" s="7">
        <f>IF(M146="", "", IFERROR(VLOOKUP(IF(ISNUMBER(M146),TEXT(M146,"0"),M146), _MAPPINGS!$A$1:$C$24, 2, FALSE), 1))</f>
      </c>
      <c r="O146" s="7">
        <f>IF(M146="", "", IFERROR(VLOOKUP(IF(ISNUMBER(M146),TEXT(M146,"0"),M146), _MAPPINGS!$A$1:$C$24, 3, FALSE), 1))</f>
      </c>
      <c r="P146" s="7">
        <f t="shared" si="4"/>
      </c>
      <c r="AN146" s="8"/>
      <c r="AO146" s="8"/>
    </row>
    <row r="147" spans="3:41" x14ac:dyDescent="0.25">
      <c r="N147" s="7">
        <f>IF(M147="", "", IFERROR(VLOOKUP(IF(ISNUMBER(M147),TEXT(M147,"0"),M147), _MAPPINGS!$A$1:$C$24, 2, FALSE), 1))</f>
      </c>
      <c r="O147" s="7">
        <f>IF(M147="", "", IFERROR(VLOOKUP(IF(ISNUMBER(M147),TEXT(M147,"0"),M147), _MAPPINGS!$A$1:$C$24, 3, FALSE), 1))</f>
      </c>
      <c r="P147" s="7">
        <f t="shared" si="4"/>
      </c>
      <c r="AN147" s="8"/>
      <c r="AO147" s="8"/>
    </row>
    <row r="148" spans="3:41" x14ac:dyDescent="0.25">
      <c r="N148" s="7">
        <f>IF(M148="", "", IFERROR(VLOOKUP(IF(ISNUMBER(M148),TEXT(M148,"0"),M148), _MAPPINGS!$A$1:$C$24, 2, FALSE), 1))</f>
      </c>
      <c r="O148" s="7">
        <f>IF(M148="", "", IFERROR(VLOOKUP(IF(ISNUMBER(M148),TEXT(M148,"0"),M148), _MAPPINGS!$A$1:$C$24, 3, FALSE), 1))</f>
      </c>
      <c r="P148" s="7">
        <f t="shared" si="4"/>
      </c>
      <c r="AN148" s="8"/>
      <c r="AO148" s="8"/>
    </row>
    <row r="149" spans="3:41" x14ac:dyDescent="0.25">
      <c r="N149" s="7">
        <f>IF(M149="", "", IFERROR(VLOOKUP(IF(ISNUMBER(M149),TEXT(M149,"0"),M149), _MAPPINGS!$A$1:$C$24, 2, FALSE), 1))</f>
      </c>
      <c r="O149" s="7">
        <f>IF(M149="", "", IFERROR(VLOOKUP(IF(ISNUMBER(M149),TEXT(M149,"0"),M149), _MAPPINGS!$A$1:$C$24, 3, FALSE), 1))</f>
      </c>
      <c r="P149" s="7">
        <f t="shared" si="4"/>
      </c>
      <c r="AN149" s="8"/>
      <c r="AO149" s="8"/>
    </row>
    <row r="150" spans="3:41" x14ac:dyDescent="0.25">
      <c r="N150" s="7">
        <f>IF(M150="", "", IFERROR(VLOOKUP(IF(ISNUMBER(M150),TEXT(M150,"0"),M150), _MAPPINGS!$A$1:$C$24, 2, FALSE), 1))</f>
      </c>
      <c r="O150" s="7">
        <f>IF(M150="", "", IFERROR(VLOOKUP(IF(ISNUMBER(M150),TEXT(M150,"0"),M150), _MAPPINGS!$A$1:$C$24, 3, FALSE), 1))</f>
      </c>
      <c r="P150" s="7">
        <f t="shared" si="4"/>
      </c>
      <c r="AN150" s="8"/>
      <c r="AO150" s="8"/>
    </row>
    <row r="151" spans="3:41" x14ac:dyDescent="0.25">
      <c r="N151" s="7">
        <f>IF(M151="", "", IFERROR(VLOOKUP(IF(ISNUMBER(M151),TEXT(M151,"0"),M151), _MAPPINGS!$A$1:$C$24, 2, FALSE), 1))</f>
      </c>
      <c r="O151" s="7">
        <f>IF(M151="", "", IFERROR(VLOOKUP(IF(ISNUMBER(M151),TEXT(M151,"0"),M151), _MAPPINGS!$A$1:$C$24, 3, FALSE), 1))</f>
      </c>
      <c r="P151" s="7">
        <f t="shared" si="4"/>
      </c>
      <c r="AN151" s="8"/>
      <c r="AO151" s="8"/>
    </row>
    <row r="152" spans="3:41" x14ac:dyDescent="0.25">
      <c r="N152" s="7">
        <f>IF(M152="", "", IFERROR(VLOOKUP(IF(ISNUMBER(M152),TEXT(M152,"0"),M152), _MAPPINGS!$A$1:$C$24, 2, FALSE), 1))</f>
      </c>
      <c r="O152" s="7">
        <f>IF(M152="", "", IFERROR(VLOOKUP(IF(ISNUMBER(M152),TEXT(M152,"0"),M152), _MAPPINGS!$A$1:$C$24, 3, FALSE), 1))</f>
      </c>
      <c r="P152" s="7">
        <f t="shared" si="4"/>
      </c>
      <c r="AN152" s="8"/>
      <c r="AO152" s="8"/>
    </row>
    <row r="153" spans="3:41" x14ac:dyDescent="0.25">
      <c r="N153" s="7">
        <f>IF(M153="", "", IFERROR(VLOOKUP(IF(ISNUMBER(M153),TEXT(M153,"0"),M153), _MAPPINGS!$A$1:$C$24, 2, FALSE), 1))</f>
      </c>
      <c r="O153" s="7">
        <f>IF(M153="", "", IFERROR(VLOOKUP(IF(ISNUMBER(M153),TEXT(M153,"0"),M153), _MAPPINGS!$A$1:$C$24, 3, FALSE), 1))</f>
      </c>
      <c r="P153" s="7">
        <f t="shared" si="4"/>
      </c>
      <c r="AN153" s="8"/>
      <c r="AO153" s="8"/>
    </row>
    <row r="154" spans="3:41" x14ac:dyDescent="0.25">
      <c r="N154" s="7">
        <f>IF(M154="", "", IFERROR(VLOOKUP(IF(ISNUMBER(M154),TEXT(M154,"0"),M154), _MAPPINGS!$A$1:$C$24, 2, FALSE), 1))</f>
      </c>
      <c r="O154" s="7">
        <f>IF(M154="", "", IFERROR(VLOOKUP(IF(ISNUMBER(M154),TEXT(M154,"0"),M154), _MAPPINGS!$A$1:$C$24, 3, FALSE), 1))</f>
      </c>
      <c r="P154" s="7">
        <f t="shared" si="4"/>
      </c>
      <c r="AN154" s="8"/>
      <c r="AO154" s="8"/>
    </row>
    <row r="155" spans="3:41" x14ac:dyDescent="0.25">
      <c r="N155" s="7">
        <f>IF(M155="", "", IFERROR(VLOOKUP(IF(ISNUMBER(M155),TEXT(M155,"0"),M155), _MAPPINGS!$A$1:$C$24, 2, FALSE), 1))</f>
      </c>
      <c r="O155" s="7">
        <f>IF(M155="", "", IFERROR(VLOOKUP(IF(ISNUMBER(M155),TEXT(M155,"0"),M155), _MAPPINGS!$A$1:$C$24, 3, FALSE), 1))</f>
      </c>
      <c r="P155" s="7">
        <f t="shared" si="4"/>
      </c>
      <c r="AN155" s="8"/>
      <c r="AO155" s="8"/>
    </row>
    <row r="156" spans="3:41" x14ac:dyDescent="0.25">
      <c r="N156" s="7">
        <f>IF(M156="", "", IFERROR(VLOOKUP(IF(ISNUMBER(M156),TEXT(M156,"0"),M156), _MAPPINGS!$A$1:$C$24, 2, FALSE), 1))</f>
      </c>
      <c r="O156" s="7">
        <f>IF(M156="", "", IFERROR(VLOOKUP(IF(ISNUMBER(M156),TEXT(M156,"0"),M156), _MAPPINGS!$A$1:$C$24, 3, FALSE), 1))</f>
      </c>
      <c r="P156" s="7">
        <f t="shared" si="4"/>
      </c>
      <c r="AN156" s="8"/>
      <c r="AO156" s="8"/>
    </row>
    <row r="157" spans="3:41" x14ac:dyDescent="0.25">
      <c r="N157" s="7">
        <f>IF(M157="", "", IFERROR(VLOOKUP(IF(ISNUMBER(M157),TEXT(M157,"0"),M157), _MAPPINGS!$A$1:$C$24, 2, FALSE), 1))</f>
      </c>
      <c r="O157" s="7">
        <f>IF(M157="", "", IFERROR(VLOOKUP(IF(ISNUMBER(M157),TEXT(M157,"0"),M157), _MAPPINGS!$A$1:$C$24, 3, FALSE), 1))</f>
      </c>
      <c r="P157" s="7">
        <f t="shared" si="4"/>
      </c>
      <c r="AN157" s="8"/>
      <c r="AO157" s="8"/>
    </row>
    <row r="158" spans="3:41" x14ac:dyDescent="0.25">
      <c r="N158" s="7">
        <f>IF(M158="", "", IFERROR(VLOOKUP(IF(ISNUMBER(M158),TEXT(M158,"0"),M158), _MAPPINGS!$A$1:$C$24, 2, FALSE), 1))</f>
      </c>
      <c r="O158" s="7">
        <f>IF(M158="", "", IFERROR(VLOOKUP(IF(ISNUMBER(M158),TEXT(M158,"0"),M158), _MAPPINGS!$A$1:$C$24, 3, FALSE), 1))</f>
      </c>
      <c r="P158" s="7">
        <f t="shared" si="4"/>
      </c>
      <c r="AN158" s="8"/>
      <c r="AO158" s="8"/>
    </row>
    <row r="159" spans="3:41" x14ac:dyDescent="0.25">
      <c r="N159" s="7">
        <f>IF(M159="", "", IFERROR(VLOOKUP(IF(ISNUMBER(M159),TEXT(M159,"0"),M159), _MAPPINGS!$A$1:$C$24, 2, FALSE), 1))</f>
      </c>
      <c r="O159" s="7">
        <f>IF(M159="", "", IFERROR(VLOOKUP(IF(ISNUMBER(M159),TEXT(M159,"0"),M159), _MAPPINGS!$A$1:$C$24, 3, FALSE), 1))</f>
      </c>
      <c r="P159" s="7">
        <f t="shared" si="4"/>
      </c>
      <c r="AN159" s="8"/>
      <c r="AO159" s="8"/>
    </row>
    <row r="160" spans="3:41" x14ac:dyDescent="0.25">
      <c r="N160" s="7">
        <f>IF(M160="", "", IFERROR(VLOOKUP(IF(ISNUMBER(M160),TEXT(M160,"0"),M160), _MAPPINGS!$A$1:$C$24, 2, FALSE), 1))</f>
      </c>
      <c r="O160" s="7">
        <f>IF(M160="", "", IFERROR(VLOOKUP(IF(ISNUMBER(M160),TEXT(M160,"0"),M160), _MAPPINGS!$A$1:$C$24, 3, FALSE), 1))</f>
      </c>
      <c r="P160" s="7">
        <f t="shared" si="4"/>
      </c>
      <c r="AN160" s="8"/>
      <c r="AO160" s="8"/>
    </row>
    <row r="161" spans="3:41" x14ac:dyDescent="0.25">
      <c r="N161" s="7">
        <f>IF(M161="", "", IFERROR(VLOOKUP(IF(ISNUMBER(M161),TEXT(M161,"0"),M161), _MAPPINGS!$A$1:$C$24, 2, FALSE), 1))</f>
      </c>
      <c r="O161" s="7">
        <f>IF(M161="", "", IFERROR(VLOOKUP(IF(ISNUMBER(M161),TEXT(M161,"0"),M161), _MAPPINGS!$A$1:$C$24, 3, FALSE), 1))</f>
      </c>
      <c r="P161" s="7">
        <f t="shared" si="4"/>
      </c>
      <c r="AN161" s="8"/>
      <c r="AO161" s="8"/>
    </row>
    <row r="162" spans="3:41" x14ac:dyDescent="0.25">
      <c r="N162" s="7">
        <f>IF(M162="", "", IFERROR(VLOOKUP(IF(ISNUMBER(M162),TEXT(M162,"0"),M162), _MAPPINGS!$A$1:$C$24, 2, FALSE), 1))</f>
      </c>
      <c r="O162" s="7">
        <f>IF(M162="", "", IFERROR(VLOOKUP(IF(ISNUMBER(M162),TEXT(M162,"0"),M162), _MAPPINGS!$A$1:$C$24, 3, FALSE), 1))</f>
      </c>
      <c r="P162" s="7">
        <f t="shared" si="4"/>
      </c>
      <c r="AN162" s="8"/>
      <c r="AO162" s="8"/>
    </row>
    <row r="163" spans="3:41" x14ac:dyDescent="0.25">
      <c r="N163" s="7">
        <f>IF(M163="", "", IFERROR(VLOOKUP(IF(ISNUMBER(M163),TEXT(M163,"0"),M163), _MAPPINGS!$A$1:$C$24, 2, FALSE), 1))</f>
      </c>
      <c r="O163" s="7">
        <f>IF(M163="", "", IFERROR(VLOOKUP(IF(ISNUMBER(M163),TEXT(M163,"0"),M163), _MAPPINGS!$A$1:$C$24, 3, FALSE), 1))</f>
      </c>
      <c r="P163" s="7">
        <f t="shared" si="4"/>
      </c>
      <c r="AN163" s="8"/>
      <c r="AO163" s="8"/>
    </row>
    <row r="164" spans="3:41" x14ac:dyDescent="0.25">
      <c r="N164" s="7">
        <f>IF(M164="", "", IFERROR(VLOOKUP(IF(ISNUMBER(M164),TEXT(M164,"0"),M164), _MAPPINGS!$A$1:$C$24, 2, FALSE), 1))</f>
      </c>
      <c r="O164" s="7">
        <f>IF(M164="", "", IFERROR(VLOOKUP(IF(ISNUMBER(M164),TEXT(M164,"0"),M164), _MAPPINGS!$A$1:$C$24, 3, FALSE), 1))</f>
      </c>
      <c r="P164" s="7">
        <f t="shared" ref="P164:P195" si="5">IF(AND(N164&lt;&gt;"", O164&lt;&gt;""), N164*O164, "")</f>
      </c>
      <c r="AN164" s="8"/>
      <c r="AO164" s="8"/>
    </row>
    <row r="165" spans="3:41" x14ac:dyDescent="0.25">
      <c r="N165" s="7">
        <f>IF(M165="", "", IFERROR(VLOOKUP(IF(ISNUMBER(M165),TEXT(M165,"0"),M165), _MAPPINGS!$A$1:$C$24, 2, FALSE), 1))</f>
      </c>
      <c r="O165" s="7">
        <f>IF(M165="", "", IFERROR(VLOOKUP(IF(ISNUMBER(M165),TEXT(M165,"0"),M165), _MAPPINGS!$A$1:$C$24, 3, FALSE), 1))</f>
      </c>
      <c r="P165" s="7">
        <f t="shared" si="5"/>
      </c>
      <c r="AN165" s="8"/>
      <c r="AO165" s="8"/>
    </row>
    <row r="166" spans="3:41" x14ac:dyDescent="0.25">
      <c r="N166" s="7">
        <f>IF(M166="", "", IFERROR(VLOOKUP(IF(ISNUMBER(M166),TEXT(M166,"0"),M166), _MAPPINGS!$A$1:$C$24, 2, FALSE), 1))</f>
      </c>
      <c r="O166" s="7">
        <f>IF(M166="", "", IFERROR(VLOOKUP(IF(ISNUMBER(M166),TEXT(M166,"0"),M166), _MAPPINGS!$A$1:$C$24, 3, FALSE), 1))</f>
      </c>
      <c r="P166" s="7">
        <f t="shared" si="5"/>
      </c>
      <c r="AN166" s="8"/>
      <c r="AO166" s="8"/>
    </row>
    <row r="167" spans="3:41" x14ac:dyDescent="0.25">
      <c r="N167" s="7">
        <f>IF(M167="", "", IFERROR(VLOOKUP(IF(ISNUMBER(M167),TEXT(M167,"0"),M167), _MAPPINGS!$A$1:$C$24, 2, FALSE), 1))</f>
      </c>
      <c r="O167" s="7">
        <f>IF(M167="", "", IFERROR(VLOOKUP(IF(ISNUMBER(M167),TEXT(M167,"0"),M167), _MAPPINGS!$A$1:$C$24, 3, FALSE), 1))</f>
      </c>
      <c r="P167" s="7">
        <f t="shared" si="5"/>
      </c>
      <c r="AN167" s="8"/>
      <c r="AO167" s="8"/>
    </row>
    <row r="168" spans="3:41" x14ac:dyDescent="0.25">
      <c r="N168" s="7">
        <f>IF(M168="", "", IFERROR(VLOOKUP(IF(ISNUMBER(M168),TEXT(M168,"0"),M168), _MAPPINGS!$A$1:$C$24, 2, FALSE), 1))</f>
      </c>
      <c r="O168" s="7">
        <f>IF(M168="", "", IFERROR(VLOOKUP(IF(ISNUMBER(M168),TEXT(M168,"0"),M168), _MAPPINGS!$A$1:$C$24, 3, FALSE), 1))</f>
      </c>
      <c r="P168" s="7">
        <f t="shared" si="5"/>
      </c>
      <c r="AN168" s="8"/>
      <c r="AO168" s="8"/>
    </row>
    <row r="169" spans="3:41" x14ac:dyDescent="0.25">
      <c r="N169" s="7">
        <f>IF(M169="", "", IFERROR(VLOOKUP(IF(ISNUMBER(M169),TEXT(M169,"0"),M169), _MAPPINGS!$A$1:$C$24, 2, FALSE), 1))</f>
      </c>
      <c r="O169" s="7">
        <f>IF(M169="", "", IFERROR(VLOOKUP(IF(ISNUMBER(M169),TEXT(M169,"0"),M169), _MAPPINGS!$A$1:$C$24, 3, FALSE), 1))</f>
      </c>
      <c r="P169" s="7">
        <f t="shared" si="5"/>
      </c>
      <c r="AN169" s="8"/>
      <c r="AO169" s="8"/>
    </row>
    <row r="170" spans="3:41" x14ac:dyDescent="0.25">
      <c r="N170" s="7">
        <f>IF(M170="", "", IFERROR(VLOOKUP(IF(ISNUMBER(M170),TEXT(M170,"0"),M170), _MAPPINGS!$A$1:$C$24, 2, FALSE), 1))</f>
      </c>
      <c r="O170" s="7">
        <f>IF(M170="", "", IFERROR(VLOOKUP(IF(ISNUMBER(M170),TEXT(M170,"0"),M170), _MAPPINGS!$A$1:$C$24, 3, FALSE), 1))</f>
      </c>
      <c r="P170" s="7">
        <f t="shared" si="5"/>
      </c>
      <c r="AN170" s="8"/>
      <c r="AO170" s="8"/>
    </row>
    <row r="171" spans="3:41" x14ac:dyDescent="0.25">
      <c r="N171" s="7">
        <f>IF(M171="", "", IFERROR(VLOOKUP(IF(ISNUMBER(M171),TEXT(M171,"0"),M171), _MAPPINGS!$A$1:$C$24, 2, FALSE), 1))</f>
      </c>
      <c r="O171" s="7">
        <f>IF(M171="", "", IFERROR(VLOOKUP(IF(ISNUMBER(M171),TEXT(M171,"0"),M171), _MAPPINGS!$A$1:$C$24, 3, FALSE), 1))</f>
      </c>
      <c r="P171" s="7">
        <f t="shared" si="5"/>
      </c>
      <c r="AN171" s="8"/>
      <c r="AO171" s="8"/>
    </row>
    <row r="172" spans="3:41" x14ac:dyDescent="0.25">
      <c r="N172" s="7">
        <f>IF(M172="", "", IFERROR(VLOOKUP(IF(ISNUMBER(M172),TEXT(M172,"0"),M172), _MAPPINGS!$A$1:$C$24, 2, FALSE), 1))</f>
      </c>
      <c r="O172" s="7">
        <f>IF(M172="", "", IFERROR(VLOOKUP(IF(ISNUMBER(M172),TEXT(M172,"0"),M172), _MAPPINGS!$A$1:$C$24, 3, FALSE), 1))</f>
      </c>
      <c r="P172" s="7">
        <f t="shared" si="5"/>
      </c>
      <c r="AN172" s="8"/>
      <c r="AO172" s="8"/>
    </row>
    <row r="173" spans="3:41" x14ac:dyDescent="0.25">
      <c r="N173" s="7">
        <f>IF(M173="", "", IFERROR(VLOOKUP(IF(ISNUMBER(M173),TEXT(M173,"0"),M173), _MAPPINGS!$A$1:$C$24, 2, FALSE), 1))</f>
      </c>
      <c r="O173" s="7">
        <f>IF(M173="", "", IFERROR(VLOOKUP(IF(ISNUMBER(M173),TEXT(M173,"0"),M173), _MAPPINGS!$A$1:$C$24, 3, FALSE), 1))</f>
      </c>
      <c r="P173" s="7">
        <f t="shared" si="5"/>
      </c>
      <c r="AN173" s="8"/>
      <c r="AO173" s="8"/>
    </row>
    <row r="174" spans="3:41" x14ac:dyDescent="0.25">
      <c r="N174" s="7">
        <f>IF(M174="", "", IFERROR(VLOOKUP(IF(ISNUMBER(M174),TEXT(M174,"0"),M174), _MAPPINGS!$A$1:$C$24, 2, FALSE), 1))</f>
      </c>
      <c r="O174" s="7">
        <f>IF(M174="", "", IFERROR(VLOOKUP(IF(ISNUMBER(M174),TEXT(M174,"0"),M174), _MAPPINGS!$A$1:$C$24, 3, FALSE), 1))</f>
      </c>
      <c r="P174" s="7">
        <f t="shared" si="5"/>
      </c>
      <c r="AN174" s="8"/>
      <c r="AO174" s="8"/>
    </row>
    <row r="175" spans="3:41" x14ac:dyDescent="0.25">
      <c r="N175" s="7">
        <f>IF(M175="", "", IFERROR(VLOOKUP(IF(ISNUMBER(M175),TEXT(M175,"0"),M175), _MAPPINGS!$A$1:$C$24, 2, FALSE), 1))</f>
      </c>
      <c r="O175" s="7">
        <f>IF(M175="", "", IFERROR(VLOOKUP(IF(ISNUMBER(M175),TEXT(M175,"0"),M175), _MAPPINGS!$A$1:$C$24, 3, FALSE), 1))</f>
      </c>
      <c r="P175" s="7">
        <f t="shared" si="5"/>
      </c>
      <c r="AN175" s="8"/>
      <c r="AO175" s="8"/>
    </row>
    <row r="176" spans="3:41" x14ac:dyDescent="0.25">
      <c r="N176" s="7">
        <f>IF(M176="", "", IFERROR(VLOOKUP(IF(ISNUMBER(M176),TEXT(M176,"0"),M176), _MAPPINGS!$A$1:$C$24, 2, FALSE), 1))</f>
      </c>
      <c r="O176" s="7">
        <f>IF(M176="", "", IFERROR(VLOOKUP(IF(ISNUMBER(M176),TEXT(M176,"0"),M176), _MAPPINGS!$A$1:$C$24, 3, FALSE), 1))</f>
      </c>
      <c r="P176" s="7">
        <f t="shared" si="5"/>
      </c>
      <c r="AN176" s="8"/>
      <c r="AO176" s="8"/>
    </row>
    <row r="177" spans="3:41" x14ac:dyDescent="0.25">
      <c r="N177" s="7">
        <f>IF(M177="", "", IFERROR(VLOOKUP(IF(ISNUMBER(M177),TEXT(M177,"0"),M177), _MAPPINGS!$A$1:$C$24, 2, FALSE), 1))</f>
      </c>
      <c r="O177" s="7">
        <f>IF(M177="", "", IFERROR(VLOOKUP(IF(ISNUMBER(M177),TEXT(M177,"0"),M177), _MAPPINGS!$A$1:$C$24, 3, FALSE), 1))</f>
      </c>
      <c r="P177" s="7">
        <f t="shared" si="5"/>
      </c>
      <c r="AN177" s="8"/>
      <c r="AO177" s="8"/>
    </row>
    <row r="178" spans="3:41" x14ac:dyDescent="0.25">
      <c r="N178" s="7">
        <f>IF(M178="", "", IFERROR(VLOOKUP(IF(ISNUMBER(M178),TEXT(M178,"0"),M178), _MAPPINGS!$A$1:$C$24, 2, FALSE), 1))</f>
      </c>
      <c r="O178" s="7">
        <f>IF(M178="", "", IFERROR(VLOOKUP(IF(ISNUMBER(M178),TEXT(M178,"0"),M178), _MAPPINGS!$A$1:$C$24, 3, FALSE), 1))</f>
      </c>
      <c r="P178" s="7">
        <f t="shared" si="5"/>
      </c>
      <c r="AN178" s="8"/>
      <c r="AO178" s="8"/>
    </row>
    <row r="179" spans="3:41" x14ac:dyDescent="0.25">
      <c r="N179" s="7">
        <f>IF(M179="", "", IFERROR(VLOOKUP(IF(ISNUMBER(M179),TEXT(M179,"0"),M179), _MAPPINGS!$A$1:$C$24, 2, FALSE), 1))</f>
      </c>
      <c r="O179" s="7">
        <f>IF(M179="", "", IFERROR(VLOOKUP(IF(ISNUMBER(M179),TEXT(M179,"0"),M179), _MAPPINGS!$A$1:$C$24, 3, FALSE), 1))</f>
      </c>
      <c r="P179" s="7">
        <f t="shared" si="5"/>
      </c>
      <c r="AN179" s="8"/>
      <c r="AO179" s="8"/>
    </row>
    <row r="180" spans="3:41" x14ac:dyDescent="0.25">
      <c r="N180" s="7">
        <f>IF(M180="", "", IFERROR(VLOOKUP(IF(ISNUMBER(M180),TEXT(M180,"0"),M180), _MAPPINGS!$A$1:$C$24, 2, FALSE), 1))</f>
      </c>
      <c r="O180" s="7">
        <f>IF(M180="", "", IFERROR(VLOOKUP(IF(ISNUMBER(M180),TEXT(M180,"0"),M180), _MAPPINGS!$A$1:$C$24, 3, FALSE), 1))</f>
      </c>
      <c r="P180" s="7">
        <f t="shared" si="5"/>
      </c>
      <c r="AN180" s="8"/>
      <c r="AO180" s="8"/>
    </row>
    <row r="181" spans="3:41" x14ac:dyDescent="0.25">
      <c r="N181" s="7">
        <f>IF(M181="", "", IFERROR(VLOOKUP(IF(ISNUMBER(M181),TEXT(M181,"0"),M181), _MAPPINGS!$A$1:$C$24, 2, FALSE), 1))</f>
      </c>
      <c r="O181" s="7">
        <f>IF(M181="", "", IFERROR(VLOOKUP(IF(ISNUMBER(M181),TEXT(M181,"0"),M181), _MAPPINGS!$A$1:$C$24, 3, FALSE), 1))</f>
      </c>
      <c r="P181" s="7">
        <f t="shared" si="5"/>
      </c>
      <c r="AN181" s="8"/>
      <c r="AO181" s="8"/>
    </row>
    <row r="182" spans="3:41" x14ac:dyDescent="0.25">
      <c r="N182" s="7">
        <f>IF(M182="", "", IFERROR(VLOOKUP(IF(ISNUMBER(M182),TEXT(M182,"0"),M182), _MAPPINGS!$A$1:$C$24, 2, FALSE), 1))</f>
      </c>
      <c r="O182" s="7">
        <f>IF(M182="", "", IFERROR(VLOOKUP(IF(ISNUMBER(M182),TEXT(M182,"0"),M182), _MAPPINGS!$A$1:$C$24, 3, FALSE), 1))</f>
      </c>
      <c r="P182" s="7">
        <f t="shared" si="5"/>
      </c>
      <c r="AN182" s="8"/>
      <c r="AO182" s="8"/>
    </row>
    <row r="183" spans="3:41" x14ac:dyDescent="0.25">
      <c r="N183" s="7">
        <f>IF(M183="", "", IFERROR(VLOOKUP(IF(ISNUMBER(M183),TEXT(M183,"0"),M183), _MAPPINGS!$A$1:$C$24, 2, FALSE), 1))</f>
      </c>
      <c r="O183" s="7">
        <f>IF(M183="", "", IFERROR(VLOOKUP(IF(ISNUMBER(M183),TEXT(M183,"0"),M183), _MAPPINGS!$A$1:$C$24, 3, FALSE), 1))</f>
      </c>
      <c r="P183" s="7">
        <f t="shared" si="5"/>
      </c>
      <c r="AN183" s="8"/>
      <c r="AO183" s="8"/>
    </row>
    <row r="184" spans="3:41" x14ac:dyDescent="0.25">
      <c r="N184" s="7">
        <f>IF(M184="", "", IFERROR(VLOOKUP(IF(ISNUMBER(M184),TEXT(M184,"0"),M184), _MAPPINGS!$A$1:$C$24, 2, FALSE), 1))</f>
      </c>
      <c r="O184" s="7">
        <f>IF(M184="", "", IFERROR(VLOOKUP(IF(ISNUMBER(M184),TEXT(M184,"0"),M184), _MAPPINGS!$A$1:$C$24, 3, FALSE), 1))</f>
      </c>
      <c r="P184" s="7">
        <f t="shared" si="5"/>
      </c>
      <c r="AN184" s="8"/>
      <c r="AO184" s="8"/>
    </row>
    <row r="185" spans="3:41" x14ac:dyDescent="0.25">
      <c r="N185" s="7">
        <f>IF(M185="", "", IFERROR(VLOOKUP(IF(ISNUMBER(M185),TEXT(M185,"0"),M185), _MAPPINGS!$A$1:$C$24, 2, FALSE), 1))</f>
      </c>
      <c r="O185" s="7">
        <f>IF(M185="", "", IFERROR(VLOOKUP(IF(ISNUMBER(M185),TEXT(M185,"0"),M185), _MAPPINGS!$A$1:$C$24, 3, FALSE), 1))</f>
      </c>
      <c r="P185" s="7">
        <f t="shared" si="5"/>
      </c>
      <c r="AN185" s="8"/>
      <c r="AO185" s="8"/>
    </row>
    <row r="186" spans="3:41" x14ac:dyDescent="0.25">
      <c r="N186" s="7">
        <f>IF(M186="", "", IFERROR(VLOOKUP(IF(ISNUMBER(M186),TEXT(M186,"0"),M186), _MAPPINGS!$A$1:$C$24, 2, FALSE), 1))</f>
      </c>
      <c r="O186" s="7">
        <f>IF(M186="", "", IFERROR(VLOOKUP(IF(ISNUMBER(M186),TEXT(M186,"0"),M186), _MAPPINGS!$A$1:$C$24, 3, FALSE), 1))</f>
      </c>
      <c r="P186" s="7">
        <f t="shared" si="5"/>
      </c>
      <c r="AN186" s="8"/>
      <c r="AO186" s="8"/>
    </row>
    <row r="187" spans="3:41" x14ac:dyDescent="0.25">
      <c r="N187" s="7">
        <f>IF(M187="", "", IFERROR(VLOOKUP(IF(ISNUMBER(M187),TEXT(M187,"0"),M187), _MAPPINGS!$A$1:$C$24, 2, FALSE), 1))</f>
      </c>
      <c r="O187" s="7">
        <f>IF(M187="", "", IFERROR(VLOOKUP(IF(ISNUMBER(M187),TEXT(M187,"0"),M187), _MAPPINGS!$A$1:$C$24, 3, FALSE), 1))</f>
      </c>
      <c r="P187" s="7">
        <f t="shared" si="5"/>
      </c>
      <c r="AN187" s="8"/>
      <c r="AO187" s="8"/>
    </row>
    <row r="188" spans="3:41" x14ac:dyDescent="0.25">
      <c r="N188" s="7">
        <f>IF(M188="", "", IFERROR(VLOOKUP(IF(ISNUMBER(M188),TEXT(M188,"0"),M188), _MAPPINGS!$A$1:$C$24, 2, FALSE), 1))</f>
      </c>
      <c r="O188" s="7">
        <f>IF(M188="", "", IFERROR(VLOOKUP(IF(ISNUMBER(M188),TEXT(M188,"0"),M188), _MAPPINGS!$A$1:$C$24, 3, FALSE), 1))</f>
      </c>
      <c r="P188" s="7">
        <f t="shared" si="5"/>
      </c>
      <c r="AN188" s="8"/>
      <c r="AO188" s="8"/>
    </row>
    <row r="189" spans="3:41" x14ac:dyDescent="0.25">
      <c r="N189" s="7">
        <f>IF(M189="", "", IFERROR(VLOOKUP(IF(ISNUMBER(M189),TEXT(M189,"0"),M189), _MAPPINGS!$A$1:$C$24, 2, FALSE), 1))</f>
      </c>
      <c r="O189" s="7">
        <f>IF(M189="", "", IFERROR(VLOOKUP(IF(ISNUMBER(M189),TEXT(M189,"0"),M189), _MAPPINGS!$A$1:$C$24, 3, FALSE), 1))</f>
      </c>
      <c r="P189" s="7">
        <f t="shared" si="5"/>
      </c>
      <c r="AN189" s="8"/>
      <c r="AO189" s="8"/>
    </row>
    <row r="190" spans="3:41" x14ac:dyDescent="0.25">
      <c r="N190" s="7">
        <f>IF(M190="", "", IFERROR(VLOOKUP(IF(ISNUMBER(M190),TEXT(M190,"0"),M190), _MAPPINGS!$A$1:$C$24, 2, FALSE), 1))</f>
      </c>
      <c r="O190" s="7">
        <f>IF(M190="", "", IFERROR(VLOOKUP(IF(ISNUMBER(M190),TEXT(M190,"0"),M190), _MAPPINGS!$A$1:$C$24, 3, FALSE), 1))</f>
      </c>
      <c r="P190" s="7">
        <f t="shared" si="5"/>
      </c>
      <c r="AN190" s="8"/>
      <c r="AO190" s="8"/>
    </row>
    <row r="191" spans="3:41" x14ac:dyDescent="0.25">
      <c r="N191" s="7">
        <f>IF(M191="", "", IFERROR(VLOOKUP(IF(ISNUMBER(M191),TEXT(M191,"0"),M191), _MAPPINGS!$A$1:$C$24, 2, FALSE), 1))</f>
      </c>
      <c r="O191" s="7">
        <f>IF(M191="", "", IFERROR(VLOOKUP(IF(ISNUMBER(M191),TEXT(M191,"0"),M191), _MAPPINGS!$A$1:$C$24, 3, FALSE), 1))</f>
      </c>
      <c r="P191" s="7">
        <f t="shared" si="5"/>
      </c>
      <c r="AN191" s="8"/>
      <c r="AO191" s="8"/>
    </row>
    <row r="192" spans="3:41" x14ac:dyDescent="0.25">
      <c r="N192" s="7">
        <f>IF(M192="", "", IFERROR(VLOOKUP(IF(ISNUMBER(M192),TEXT(M192,"0"),M192), _MAPPINGS!$A$1:$C$24, 2, FALSE), 1))</f>
      </c>
      <c r="O192" s="7">
        <f>IF(M192="", "", IFERROR(VLOOKUP(IF(ISNUMBER(M192),TEXT(M192,"0"),M192), _MAPPINGS!$A$1:$C$24, 3, FALSE), 1))</f>
      </c>
      <c r="P192" s="7">
        <f t="shared" si="5"/>
      </c>
      <c r="AN192" s="8"/>
      <c r="AO192" s="8"/>
    </row>
    <row r="193" spans="3:41" x14ac:dyDescent="0.25">
      <c r="N193" s="7">
        <f>IF(M193="", "", IFERROR(VLOOKUP(IF(ISNUMBER(M193),TEXT(M193,"0"),M193), _MAPPINGS!$A$1:$C$24, 2, FALSE), 1))</f>
      </c>
      <c r="O193" s="7">
        <f>IF(M193="", "", IFERROR(VLOOKUP(IF(ISNUMBER(M193),TEXT(M193,"0"),M193), _MAPPINGS!$A$1:$C$24, 3, FALSE), 1))</f>
      </c>
      <c r="P193" s="7">
        <f t="shared" si="5"/>
      </c>
      <c r="AN193" s="8"/>
      <c r="AO193" s="8"/>
    </row>
    <row r="194" spans="3:41" x14ac:dyDescent="0.25">
      <c r="N194" s="7">
        <f>IF(M194="", "", IFERROR(VLOOKUP(IF(ISNUMBER(M194),TEXT(M194,"0"),M194), _MAPPINGS!$A$1:$C$24, 2, FALSE), 1))</f>
      </c>
      <c r="O194" s="7">
        <f>IF(M194="", "", IFERROR(VLOOKUP(IF(ISNUMBER(M194),TEXT(M194,"0"),M194), _MAPPINGS!$A$1:$C$24, 3, FALSE), 1))</f>
      </c>
      <c r="P194" s="7">
        <f t="shared" si="5"/>
      </c>
      <c r="AN194" s="8"/>
      <c r="AO194" s="8"/>
    </row>
    <row r="195" spans="3:41" x14ac:dyDescent="0.25">
      <c r="N195" s="7">
        <f>IF(M195="", "", IFERROR(VLOOKUP(IF(ISNUMBER(M195),TEXT(M195,"0"),M195), _MAPPINGS!$A$1:$C$24, 2, FALSE), 1))</f>
      </c>
      <c r="O195" s="7">
        <f>IF(M195="", "", IFERROR(VLOOKUP(IF(ISNUMBER(M195),TEXT(M195,"0"),M195), _MAPPINGS!$A$1:$C$24, 3, FALSE), 1))</f>
      </c>
      <c r="P195" s="7">
        <f t="shared" si="5"/>
      </c>
      <c r="AN195" s="8"/>
      <c r="AO195" s="8"/>
    </row>
    <row r="196" spans="3:41" x14ac:dyDescent="0.25">
      <c r="N196" s="7">
        <f>IF(M196="", "", IFERROR(VLOOKUP(IF(ISNUMBER(M196),TEXT(M196,"0"),M196), _MAPPINGS!$A$1:$C$24, 2, FALSE), 1))</f>
      </c>
      <c r="O196" s="7">
        <f>IF(M196="", "", IFERROR(VLOOKUP(IF(ISNUMBER(M196),TEXT(M196,"0"),M196), _MAPPINGS!$A$1:$C$24, 3, FALSE), 1))</f>
      </c>
      <c r="P196" s="7">
        <f t="shared" ref="P196:P200" si="6">IF(AND(N196&lt;&gt;"", O196&lt;&gt;""), N196*O196, "")</f>
      </c>
      <c r="AN196" s="8"/>
      <c r="AO196" s="8"/>
    </row>
    <row r="197" spans="3:41" x14ac:dyDescent="0.25">
      <c r="N197" s="7">
        <f>IF(M197="", "", IFERROR(VLOOKUP(IF(ISNUMBER(M197),TEXT(M197,"0"),M197), _MAPPINGS!$A$1:$C$24, 2, FALSE), 1))</f>
      </c>
      <c r="O197" s="7">
        <f>IF(M197="", "", IFERROR(VLOOKUP(IF(ISNUMBER(M197),TEXT(M197,"0"),M197), _MAPPINGS!$A$1:$C$24, 3, FALSE), 1))</f>
      </c>
      <c r="P197" s="7">
        <f t="shared" si="6"/>
      </c>
      <c r="AN197" s="8"/>
      <c r="AO197" s="8"/>
    </row>
    <row r="198" spans="3:41" x14ac:dyDescent="0.25">
      <c r="N198" s="7">
        <f>IF(M198="", "", IFERROR(VLOOKUP(IF(ISNUMBER(M198),TEXT(M198,"0"),M198), _MAPPINGS!$A$1:$C$24, 2, FALSE), 1))</f>
      </c>
      <c r="O198" s="7">
        <f>IF(M198="", "", IFERROR(VLOOKUP(IF(ISNUMBER(M198),TEXT(M198,"0"),M198), _MAPPINGS!$A$1:$C$24, 3, FALSE), 1))</f>
      </c>
      <c r="P198" s="7">
        <f t="shared" si="6"/>
      </c>
      <c r="AN198" s="8"/>
      <c r="AO198" s="8"/>
    </row>
    <row r="199" spans="3:41" x14ac:dyDescent="0.25">
      <c r="N199" s="7">
        <f>IF(M199="", "", IFERROR(VLOOKUP(IF(ISNUMBER(M199),TEXT(M199,"0"),M199), _MAPPINGS!$A$1:$C$24, 2, FALSE), 1))</f>
      </c>
      <c r="O199" s="7">
        <f>IF(M199="", "", IFERROR(VLOOKUP(IF(ISNUMBER(M199),TEXT(M199,"0"),M199), _MAPPINGS!$A$1:$C$24, 3, FALSE), 1))</f>
      </c>
      <c r="P199" s="7">
        <f t="shared" si="6"/>
      </c>
      <c r="AN199" s="8"/>
      <c r="AO199" s="8"/>
    </row>
    <row r="200" spans="3:41" x14ac:dyDescent="0.25">
      <c r="N200" s="7">
        <f>IF(M200="", "", IFERROR(VLOOKUP(IF(ISNUMBER(M200),TEXT(M200,"0"),M200), _MAPPINGS!$A$1:$C$24, 2, FALSE), 1))</f>
      </c>
      <c r="O200" s="7">
        <f>IF(M200="", "", IFERROR(VLOOKUP(IF(ISNUMBER(M200),TEXT(M200,"0"),M200), _MAPPINGS!$A$1:$C$24, 3, FALSE), 1))</f>
      </c>
      <c r="P200" s="7">
        <f t="shared" si="6"/>
      </c>
      <c r="AN200" s="8"/>
      <c r="AO200" s="8"/>
    </row>
    <row r="201" spans="3:41" x14ac:dyDescent="0.25">
      <c r="AN201" s="8"/>
      <c r="AO201" s="8"/>
    </row>
    <row r="202" spans="3:6" x14ac:dyDescent="0.25"/>
    <row r="203" spans="3:6" x14ac:dyDescent="0.25"/>
    <row r="204" spans="3:6" x14ac:dyDescent="0.25"/>
    <row r="205" spans="3:6" x14ac:dyDescent="0.25"/>
    <row r="206" spans="3:6" x14ac:dyDescent="0.25"/>
    <row r="207" spans="3:6" x14ac:dyDescent="0.25"/>
    <row r="208" spans="3:6" x14ac:dyDescent="0.25"/>
    <row r="209" spans="3:6" x14ac:dyDescent="0.25"/>
    <row r="210" spans="3:6" x14ac:dyDescent="0.25"/>
    <row r="211" spans="3:6" x14ac:dyDescent="0.25"/>
    <row r="212" spans="3:6" x14ac:dyDescent="0.25"/>
    <row r="213" spans="3:6" x14ac:dyDescent="0.25"/>
    <row r="214" spans="3:6" x14ac:dyDescent="0.25"/>
    <row r="215" spans="3:6" x14ac:dyDescent="0.25"/>
    <row r="216" spans="3:6" x14ac:dyDescent="0.25"/>
    <row r="217" spans="3:6" x14ac:dyDescent="0.25"/>
    <row r="218" spans="3:6" x14ac:dyDescent="0.25"/>
    <row r="219" spans="3:6" x14ac:dyDescent="0.25"/>
    <row r="220" spans="3:6" x14ac:dyDescent="0.25"/>
    <row r="221" spans="3:6" x14ac:dyDescent="0.25"/>
    <row r="222" spans="3:6" x14ac:dyDescent="0.25"/>
    <row r="223" spans="3:6" x14ac:dyDescent="0.25"/>
    <row r="224" spans="3:6" x14ac:dyDescent="0.25"/>
    <row r="225" spans="3:6" x14ac:dyDescent="0.25"/>
    <row r="226" spans="3:6" x14ac:dyDescent="0.25"/>
    <row r="227" spans="3:6" x14ac:dyDescent="0.25"/>
    <row r="228" spans="3:6" x14ac:dyDescent="0.25"/>
    <row r="229" spans="3:6" x14ac:dyDescent="0.25"/>
    <row r="230" spans="3:6" x14ac:dyDescent="0.25"/>
    <row r="231" spans="3:6" x14ac:dyDescent="0.25"/>
    <row r="232" spans="3:6" x14ac:dyDescent="0.25"/>
    <row r="233" spans="3:6" x14ac:dyDescent="0.25"/>
    <row r="234" spans="3:6" x14ac:dyDescent="0.25"/>
    <row r="235" spans="3:6" x14ac:dyDescent="0.25"/>
    <row r="236" spans="3:6" x14ac:dyDescent="0.25"/>
    <row r="237" spans="3:6" x14ac:dyDescent="0.25"/>
    <row r="238" spans="3:6" x14ac:dyDescent="0.25"/>
    <row r="239" spans="3:6" x14ac:dyDescent="0.25"/>
    <row r="240" spans="3:6" x14ac:dyDescent="0.25"/>
    <row r="241" spans="3:6" x14ac:dyDescent="0.25"/>
    <row r="242" spans="3:6" x14ac:dyDescent="0.25"/>
    <row r="243" spans="3:6" x14ac:dyDescent="0.25"/>
    <row r="244" spans="3:6" x14ac:dyDescent="0.25"/>
    <row r="245" spans="3:6" x14ac:dyDescent="0.25"/>
    <row r="246" spans="3:6" x14ac:dyDescent="0.25"/>
    <row r="247" spans="3:6" x14ac:dyDescent="0.25"/>
    <row r="248" spans="3:6" x14ac:dyDescent="0.25"/>
    <row r="249" spans="3:6" x14ac:dyDescent="0.25"/>
    <row r="250" spans="3:6" x14ac:dyDescent="0.25"/>
    <row r="251" spans="3:6" x14ac:dyDescent="0.25"/>
    <row r="252" spans="3:6" x14ac:dyDescent="0.25"/>
    <row r="253" spans="3:6" x14ac:dyDescent="0.25"/>
    <row r="254" spans="3:6" x14ac:dyDescent="0.25"/>
    <row r="255" spans="3:6" x14ac:dyDescent="0.25"/>
    <row r="256" spans="3:6" x14ac:dyDescent="0.25"/>
    <row r="257" spans="3:6" x14ac:dyDescent="0.25"/>
    <row r="258" spans="3:6" x14ac:dyDescent="0.25"/>
    <row r="259" spans="3:6" x14ac:dyDescent="0.25"/>
    <row r="260" spans="3:6" x14ac:dyDescent="0.25"/>
    <row r="261" spans="3:6" x14ac:dyDescent="0.25"/>
    <row r="262" spans="3:6" x14ac:dyDescent="0.25"/>
    <row r="263" spans="3:6" x14ac:dyDescent="0.25"/>
    <row r="264" spans="3:6" x14ac:dyDescent="0.25"/>
    <row r="265" spans="3:6" x14ac:dyDescent="0.25"/>
    <row r="266" spans="3:6" x14ac:dyDescent="0.25"/>
    <row r="267" spans="3:6" x14ac:dyDescent="0.25"/>
    <row r="268" spans="3:6" x14ac:dyDescent="0.25"/>
    <row r="269" spans="3:6" x14ac:dyDescent="0.25"/>
    <row r="270" spans="3:6" x14ac:dyDescent="0.25"/>
    <row r="271" spans="3:6" x14ac:dyDescent="0.25"/>
    <row r="272" spans="3:6" x14ac:dyDescent="0.25"/>
    <row r="273" spans="3:6" x14ac:dyDescent="0.25"/>
    <row r="274" spans="3:6" x14ac:dyDescent="0.25"/>
    <row r="275" spans="3:6" x14ac:dyDescent="0.25"/>
    <row r="276" spans="3:6" x14ac:dyDescent="0.25"/>
    <row r="277" spans="3:6" x14ac:dyDescent="0.25"/>
    <row r="278" spans="3:6" x14ac:dyDescent="0.25"/>
    <row r="279" spans="3:6" x14ac:dyDescent="0.25"/>
    <row r="280" spans="3:6" x14ac:dyDescent="0.25"/>
    <row r="281" spans="3:6" x14ac:dyDescent="0.25"/>
    <row r="282" spans="3:6" x14ac:dyDescent="0.25"/>
    <row r="283" spans="3:6" x14ac:dyDescent="0.25"/>
    <row r="284" spans="3:6" x14ac:dyDescent="0.25"/>
    <row r="285" spans="3:6" x14ac:dyDescent="0.25"/>
    <row r="286" spans="3:6" x14ac:dyDescent="0.25"/>
    <row r="287" spans="3:6" x14ac:dyDescent="0.25"/>
    <row r="288" spans="3:6" x14ac:dyDescent="0.25"/>
    <row r="289" spans="3:6" x14ac:dyDescent="0.25"/>
    <row r="290" spans="3:6" x14ac:dyDescent="0.25"/>
    <row r="291" spans="3:6" x14ac:dyDescent="0.25"/>
    <row r="292" spans="3:6" x14ac:dyDescent="0.25"/>
    <row r="293" spans="3:6" x14ac:dyDescent="0.25"/>
    <row r="294" spans="3:6" x14ac:dyDescent="0.25"/>
    <row r="295" spans="3:6" x14ac:dyDescent="0.25"/>
    <row r="296" spans="3:6" x14ac:dyDescent="0.25"/>
    <row r="297" spans="3:6" x14ac:dyDescent="0.25"/>
    <row r="298" spans="3:6" x14ac:dyDescent="0.25"/>
    <row r="299" spans="3:6" x14ac:dyDescent="0.25"/>
    <row r="300" spans="3:6" x14ac:dyDescent="0.25"/>
    <row r="301" spans="3:6" x14ac:dyDescent="0.25"/>
    <row r="302" spans="3:6" x14ac:dyDescent="0.25"/>
    <row r="303" spans="3:6" x14ac:dyDescent="0.25"/>
    <row r="304" spans="3:6" x14ac:dyDescent="0.25"/>
    <row r="305" spans="3:6" x14ac:dyDescent="0.25"/>
    <row r="306" spans="3:6" x14ac:dyDescent="0.25"/>
    <row r="307" spans="3:6" x14ac:dyDescent="0.25"/>
    <row r="308" spans="3:6" x14ac:dyDescent="0.25"/>
    <row r="309" spans="3:6" x14ac:dyDescent="0.25"/>
    <row r="310" spans="3:6" x14ac:dyDescent="0.25"/>
    <row r="311" spans="3:6" x14ac:dyDescent="0.25"/>
    <row r="312" spans="3:6" x14ac:dyDescent="0.25"/>
    <row r="313" spans="3:6" x14ac:dyDescent="0.25"/>
    <row r="314" spans="3:6" x14ac:dyDescent="0.25"/>
    <row r="315" spans="3:6" x14ac:dyDescent="0.25"/>
    <row r="316" spans="3:6" x14ac:dyDescent="0.25"/>
    <row r="317" spans="3:6" x14ac:dyDescent="0.25"/>
    <row r="318" spans="3:6" x14ac:dyDescent="0.25"/>
    <row r="319" spans="3:6" x14ac:dyDescent="0.25"/>
    <row r="320" spans="3:6" x14ac:dyDescent="0.25"/>
    <row r="321" spans="3:6" x14ac:dyDescent="0.25"/>
    <row r="322" spans="3:6" x14ac:dyDescent="0.25"/>
    <row r="323" spans="3:6" x14ac:dyDescent="0.25"/>
    <row r="324" spans="3:6" x14ac:dyDescent="0.25"/>
    <row r="325" spans="3:6" x14ac:dyDescent="0.25"/>
    <row r="326" spans="3:6" x14ac:dyDescent="0.25"/>
    <row r="327" spans="3:6" x14ac:dyDescent="0.25"/>
    <row r="328" spans="3:6" x14ac:dyDescent="0.25"/>
    <row r="329" spans="3:6" x14ac:dyDescent="0.25"/>
    <row r="330" spans="3:6" x14ac:dyDescent="0.25"/>
    <row r="331" spans="3:6" x14ac:dyDescent="0.25"/>
    <row r="332" spans="3:6" x14ac:dyDescent="0.25"/>
    <row r="333" spans="3:6" x14ac:dyDescent="0.25"/>
    <row r="334" spans="3:6" x14ac:dyDescent="0.25"/>
    <row r="335" spans="3:6" x14ac:dyDescent="0.25"/>
    <row r="336" spans="3:6" x14ac:dyDescent="0.25"/>
    <row r="337" spans="3:6" x14ac:dyDescent="0.25"/>
    <row r="338" spans="3:6" x14ac:dyDescent="0.25"/>
    <row r="339" spans="3:6" x14ac:dyDescent="0.25"/>
    <row r="340" spans="3:6" x14ac:dyDescent="0.25"/>
    <row r="341" spans="3:6" x14ac:dyDescent="0.25"/>
    <row r="342" spans="3:6" x14ac:dyDescent="0.25"/>
    <row r="343" spans="3:6" x14ac:dyDescent="0.25"/>
    <row r="344" spans="3:6" x14ac:dyDescent="0.25"/>
    <row r="345" spans="3:6" x14ac:dyDescent="0.25"/>
    <row r="346" spans="3:6" x14ac:dyDescent="0.25"/>
    <row r="347" spans="3:6" x14ac:dyDescent="0.25"/>
    <row r="348" spans="3:6" x14ac:dyDescent="0.25"/>
    <row r="349" spans="3:6" x14ac:dyDescent="0.25"/>
    <row r="350" spans="3:6" x14ac:dyDescent="0.25"/>
    <row r="351" spans="3:6" x14ac:dyDescent="0.25"/>
    <row r="352" spans="3:6" x14ac:dyDescent="0.25"/>
    <row r="353" spans="3:6" x14ac:dyDescent="0.25"/>
    <row r="354" spans="3:6" x14ac:dyDescent="0.25"/>
    <row r="355" spans="3:6" x14ac:dyDescent="0.25"/>
    <row r="356" spans="3:6" x14ac:dyDescent="0.25"/>
    <row r="357" spans="3:6" x14ac:dyDescent="0.25"/>
    <row r="358" spans="3:6" x14ac:dyDescent="0.25"/>
    <row r="359" spans="3:6" x14ac:dyDescent="0.25"/>
    <row r="360" spans="3:6" x14ac:dyDescent="0.25"/>
    <row r="361" spans="3:6" x14ac:dyDescent="0.25"/>
    <row r="362" spans="3:6" x14ac:dyDescent="0.25"/>
    <row r="363" spans="3:6" x14ac:dyDescent="0.25"/>
    <row r="364" spans="3:6" x14ac:dyDescent="0.25"/>
    <row r="365" spans="3:6" x14ac:dyDescent="0.25"/>
    <row r="366" spans="3:6" x14ac:dyDescent="0.25"/>
    <row r="367" spans="3:6" x14ac:dyDescent="0.25"/>
    <row r="368" spans="3:6" x14ac:dyDescent="0.25"/>
    <row r="369" spans="3:6" x14ac:dyDescent="0.25"/>
    <row r="370" spans="3:6" x14ac:dyDescent="0.25"/>
    <row r="371" spans="3:6" x14ac:dyDescent="0.25"/>
    <row r="372" spans="3:6" x14ac:dyDescent="0.25"/>
    <row r="373" spans="3:6" x14ac:dyDescent="0.25"/>
    <row r="374" spans="3:6" x14ac:dyDescent="0.25"/>
    <row r="375" spans="3:6" x14ac:dyDescent="0.25"/>
    <row r="376" spans="3:6" x14ac:dyDescent="0.25"/>
    <row r="377" spans="3:6" x14ac:dyDescent="0.25"/>
    <row r="378" spans="3:6" x14ac:dyDescent="0.25"/>
    <row r="379" spans="3:6" x14ac:dyDescent="0.25"/>
    <row r="380" spans="3:6" x14ac:dyDescent="0.25"/>
    <row r="381" spans="3:6" x14ac:dyDescent="0.25"/>
    <row r="382" spans="3:6" x14ac:dyDescent="0.25"/>
    <row r="383" spans="3:6" x14ac:dyDescent="0.25"/>
    <row r="384" spans="3:6" x14ac:dyDescent="0.25"/>
    <row r="385" spans="3:6" x14ac:dyDescent="0.25"/>
    <row r="386" spans="3:6" x14ac:dyDescent="0.25"/>
    <row r="387" spans="3:6" x14ac:dyDescent="0.25"/>
    <row r="388" spans="3:6" x14ac:dyDescent="0.25"/>
    <row r="389" spans="3:6" x14ac:dyDescent="0.25"/>
    <row r="390" spans="3:6" x14ac:dyDescent="0.25"/>
    <row r="391" spans="3:6" x14ac:dyDescent="0.25"/>
    <row r="392" spans="3:6" x14ac:dyDescent="0.25"/>
    <row r="393" spans="3:6" x14ac:dyDescent="0.25"/>
    <row r="394" spans="3:6" x14ac:dyDescent="0.25"/>
    <row r="395" spans="3:6" x14ac:dyDescent="0.25"/>
    <row r="396" spans="3:6" x14ac:dyDescent="0.25"/>
    <row r="397" spans="3:6" x14ac:dyDescent="0.25"/>
    <row r="398" spans="3:6" x14ac:dyDescent="0.25"/>
    <row r="399" spans="3:6" x14ac:dyDescent="0.25"/>
    <row r="400" spans="3:6" x14ac:dyDescent="0.25"/>
    <row r="401" spans="3:6" x14ac:dyDescent="0.25"/>
    <row r="402" spans="3:6" x14ac:dyDescent="0.25"/>
    <row r="403" spans="3:6" x14ac:dyDescent="0.25"/>
    <row r="404" spans="3:6" x14ac:dyDescent="0.25"/>
    <row r="405" spans="3:6" x14ac:dyDescent="0.25"/>
    <row r="406" spans="3:6" x14ac:dyDescent="0.25"/>
    <row r="407" spans="3:6" x14ac:dyDescent="0.25"/>
    <row r="408" spans="3:6" x14ac:dyDescent="0.25"/>
    <row r="409" spans="3:6" x14ac:dyDescent="0.25"/>
    <row r="410" spans="3:6" x14ac:dyDescent="0.25"/>
    <row r="411" spans="3:6" x14ac:dyDescent="0.25"/>
    <row r="412" spans="3:6" x14ac:dyDescent="0.25"/>
    <row r="413" spans="3:6" x14ac:dyDescent="0.25"/>
    <row r="414" spans="3:6" x14ac:dyDescent="0.25"/>
    <row r="415" spans="3:6" x14ac:dyDescent="0.25"/>
    <row r="416" spans="3:6" x14ac:dyDescent="0.25"/>
    <row r="417" spans="3:6" x14ac:dyDescent="0.25"/>
    <row r="418" spans="3:6" x14ac:dyDescent="0.25"/>
    <row r="419" spans="3:6" x14ac:dyDescent="0.25"/>
    <row r="420" spans="3:6" x14ac:dyDescent="0.25"/>
    <row r="421" spans="3:6" x14ac:dyDescent="0.25"/>
    <row r="422" spans="3:6" x14ac:dyDescent="0.25"/>
    <row r="423" spans="3:6" x14ac:dyDescent="0.25"/>
    <row r="424" spans="3:6" x14ac:dyDescent="0.25"/>
    <row r="425" spans="3:6" x14ac:dyDescent="0.25"/>
    <row r="426" spans="3:6" x14ac:dyDescent="0.25"/>
    <row r="427" spans="3:6" x14ac:dyDescent="0.25"/>
    <row r="428" spans="3:6" x14ac:dyDescent="0.25"/>
    <row r="429" spans="3:6" x14ac:dyDescent="0.25"/>
    <row r="430" spans="3:6" x14ac:dyDescent="0.25"/>
    <row r="431" spans="3:6" x14ac:dyDescent="0.25"/>
    <row r="432" spans="3:6" x14ac:dyDescent="0.25"/>
    <row r="433" spans="3:6" x14ac:dyDescent="0.25"/>
    <row r="434" spans="3:6" x14ac:dyDescent="0.25"/>
    <row r="435" spans="3:6" x14ac:dyDescent="0.25"/>
    <row r="436" spans="3:6" x14ac:dyDescent="0.25"/>
    <row r="437" spans="3:6" x14ac:dyDescent="0.25"/>
    <row r="438" spans="3:6" x14ac:dyDescent="0.25"/>
    <row r="439" spans="3:6" x14ac:dyDescent="0.25"/>
    <row r="440" spans="3:6" x14ac:dyDescent="0.25"/>
    <row r="441" spans="3:6" x14ac:dyDescent="0.25"/>
    <row r="442" spans="3:6" x14ac:dyDescent="0.25"/>
    <row r="443" spans="3:6" x14ac:dyDescent="0.25"/>
    <row r="444" spans="3:6" x14ac:dyDescent="0.25"/>
    <row r="445" spans="3:6" x14ac:dyDescent="0.25"/>
    <row r="446" spans="3:6" x14ac:dyDescent="0.25"/>
    <row r="447" spans="3:6" x14ac:dyDescent="0.25"/>
    <row r="448" spans="3:6" x14ac:dyDescent="0.25"/>
    <row r="449" spans="3:6" x14ac:dyDescent="0.25"/>
    <row r="450" spans="3:6" x14ac:dyDescent="0.25"/>
    <row r="451" spans="3:6" x14ac:dyDescent="0.25"/>
    <row r="452" spans="3:6" x14ac:dyDescent="0.25"/>
    <row r="453" spans="3:6" x14ac:dyDescent="0.25"/>
    <row r="454" spans="3:6" x14ac:dyDescent="0.25"/>
    <row r="455" spans="3:6" x14ac:dyDescent="0.25"/>
    <row r="456" spans="3:6" x14ac:dyDescent="0.25"/>
    <row r="457" spans="3:6" x14ac:dyDescent="0.25"/>
    <row r="458" spans="3:6" x14ac:dyDescent="0.25"/>
    <row r="459" spans="3:6" x14ac:dyDescent="0.25"/>
    <row r="460" spans="3:6" x14ac:dyDescent="0.25"/>
    <row r="461" spans="3:6" x14ac:dyDescent="0.25"/>
    <row r="462" spans="3:6" x14ac:dyDescent="0.25"/>
    <row r="463" spans="3:6" x14ac:dyDescent="0.25"/>
    <row r="464" spans="3:6" x14ac:dyDescent="0.25"/>
    <row r="465" spans="3:6" x14ac:dyDescent="0.25"/>
    <row r="466" spans="3:6" x14ac:dyDescent="0.25"/>
    <row r="467" spans="3:6" x14ac:dyDescent="0.25"/>
    <row r="468" spans="3:6" x14ac:dyDescent="0.25"/>
    <row r="469" spans="3:6" x14ac:dyDescent="0.25"/>
    <row r="470" spans="3:6" x14ac:dyDescent="0.25"/>
    <row r="471" spans="3:6" x14ac:dyDescent="0.25"/>
    <row r="472" spans="3:6" x14ac:dyDescent="0.25"/>
    <row r="473" spans="3:6" x14ac:dyDescent="0.25"/>
    <row r="474" spans="3:6" x14ac:dyDescent="0.25"/>
    <row r="475" spans="3:6" x14ac:dyDescent="0.25"/>
    <row r="476" spans="3:6" x14ac:dyDescent="0.25"/>
    <row r="477" spans="3:6" x14ac:dyDescent="0.25"/>
    <row r="478" spans="3:6" x14ac:dyDescent="0.25"/>
    <row r="479" spans="3:6" x14ac:dyDescent="0.25"/>
    <row r="480" spans="3:6" x14ac:dyDescent="0.25"/>
    <row r="481" spans="3:6" x14ac:dyDescent="0.25"/>
    <row r="482" spans="3:6" x14ac:dyDescent="0.25"/>
    <row r="483" spans="3:6" x14ac:dyDescent="0.25"/>
    <row r="484" spans="3:6" x14ac:dyDescent="0.25"/>
    <row r="485" spans="3:6" x14ac:dyDescent="0.25"/>
    <row r="486" spans="3:6" x14ac:dyDescent="0.25"/>
    <row r="487" spans="3:6" x14ac:dyDescent="0.25"/>
    <row r="488" spans="3:6" x14ac:dyDescent="0.25"/>
    <row r="489" spans="3:6" x14ac:dyDescent="0.25"/>
    <row r="490" spans="3:6" x14ac:dyDescent="0.25"/>
    <row r="491" spans="3:6" x14ac:dyDescent="0.25"/>
    <row r="492" spans="3:6" x14ac:dyDescent="0.25"/>
    <row r="493" spans="3:6" x14ac:dyDescent="0.25"/>
    <row r="494" spans="3:6" x14ac:dyDescent="0.25"/>
    <row r="495" spans="3:6" x14ac:dyDescent="0.25"/>
    <row r="496" spans="3:6" x14ac:dyDescent="0.25"/>
    <row r="497" spans="3:6" x14ac:dyDescent="0.25"/>
    <row r="498" spans="3:6" x14ac:dyDescent="0.25"/>
    <row r="499" spans="3:6" x14ac:dyDescent="0.25"/>
    <row r="500" spans="3:6" x14ac:dyDescent="0.25"/>
    <row r="501" spans="3:6" x14ac:dyDescent="0.25"/>
    <row r="502" spans="3:6" x14ac:dyDescent="0.25"/>
    <row r="503" spans="3:6" x14ac:dyDescent="0.25"/>
    <row r="504" spans="3:6" x14ac:dyDescent="0.25"/>
    <row r="505" spans="3:6" x14ac:dyDescent="0.25"/>
    <row r="506" spans="3:6" x14ac:dyDescent="0.25"/>
    <row r="507" spans="3:6" x14ac:dyDescent="0.25"/>
    <row r="508" spans="3:6" x14ac:dyDescent="0.25"/>
    <row r="509" spans="3:6" x14ac:dyDescent="0.25"/>
    <row r="510" spans="3:6" x14ac:dyDescent="0.25"/>
    <row r="511" spans="3:6" x14ac:dyDescent="0.25"/>
    <row r="512" spans="3:6" x14ac:dyDescent="0.25"/>
    <row r="513" spans="3:6" x14ac:dyDescent="0.25"/>
    <row r="514" spans="3:6" x14ac:dyDescent="0.25"/>
    <row r="515" spans="3:6" x14ac:dyDescent="0.25"/>
    <row r="516" spans="3:6" x14ac:dyDescent="0.25"/>
    <row r="517" spans="3:6" x14ac:dyDescent="0.25"/>
    <row r="518" spans="3:6" x14ac:dyDescent="0.25"/>
    <row r="519" spans="3:6" x14ac:dyDescent="0.25"/>
    <row r="520" spans="3:6" x14ac:dyDescent="0.25"/>
    <row r="521" spans="3:6" x14ac:dyDescent="0.25"/>
    <row r="522" spans="3:6" x14ac:dyDescent="0.25"/>
    <row r="523" spans="3:6" x14ac:dyDescent="0.25"/>
    <row r="524" spans="3:6" x14ac:dyDescent="0.25"/>
    <row r="525" spans="3:6" x14ac:dyDescent="0.25"/>
    <row r="526" spans="3:6" x14ac:dyDescent="0.25"/>
    <row r="527" spans="3:6" x14ac:dyDescent="0.25"/>
    <row r="528" spans="3:6" x14ac:dyDescent="0.25"/>
    <row r="529" spans="3:6" x14ac:dyDescent="0.25"/>
    <row r="530" spans="3:6" x14ac:dyDescent="0.25"/>
    <row r="531" spans="3:6" x14ac:dyDescent="0.25"/>
    <row r="532" spans="3:6" x14ac:dyDescent="0.25"/>
    <row r="533" spans="3:6" x14ac:dyDescent="0.25"/>
    <row r="534" spans="3:6" x14ac:dyDescent="0.25"/>
    <row r="535" spans="3:6" x14ac:dyDescent="0.25"/>
    <row r="536" spans="3:6" x14ac:dyDescent="0.25"/>
    <row r="537" spans="3:6" x14ac:dyDescent="0.25"/>
    <row r="538" spans="3:6" x14ac:dyDescent="0.25"/>
    <row r="539" spans="3:6" x14ac:dyDescent="0.25"/>
    <row r="540" spans="3:6" x14ac:dyDescent="0.25"/>
    <row r="541" spans="3:6" x14ac:dyDescent="0.25"/>
    <row r="542" spans="3:6" x14ac:dyDescent="0.25"/>
    <row r="543" spans="3:6" x14ac:dyDescent="0.25"/>
    <row r="544" spans="3:6" x14ac:dyDescent="0.25"/>
    <row r="545" spans="3:6" x14ac:dyDescent="0.25"/>
    <row r="546" spans="3:6" x14ac:dyDescent="0.25"/>
    <row r="547" spans="3:6" x14ac:dyDescent="0.25"/>
    <row r="548" spans="3:6" x14ac:dyDescent="0.25"/>
    <row r="549" spans="3:6" x14ac:dyDescent="0.25"/>
    <row r="550" spans="3:6" x14ac:dyDescent="0.25"/>
    <row r="551" spans="3:6" x14ac:dyDescent="0.25"/>
    <row r="552" spans="3:6" x14ac:dyDescent="0.25"/>
    <row r="553" spans="3:6" x14ac:dyDescent="0.25"/>
    <row r="554" spans="3:6" x14ac:dyDescent="0.25"/>
    <row r="555" spans="3:6" x14ac:dyDescent="0.25"/>
    <row r="556" spans="3:6" x14ac:dyDescent="0.25"/>
    <row r="557" spans="3:6" x14ac:dyDescent="0.25"/>
    <row r="558" spans="3:6" x14ac:dyDescent="0.25"/>
    <row r="559" spans="3:6" x14ac:dyDescent="0.25"/>
    <row r="560" spans="3:6" x14ac:dyDescent="0.25"/>
    <row r="561" spans="3:6" x14ac:dyDescent="0.25"/>
    <row r="562" spans="3:6" x14ac:dyDescent="0.25"/>
    <row r="563" spans="3:6" x14ac:dyDescent="0.25"/>
    <row r="564" spans="3:6" x14ac:dyDescent="0.25"/>
    <row r="565" spans="3:6" x14ac:dyDescent="0.25"/>
    <row r="566" spans="3:6" x14ac:dyDescent="0.25"/>
    <row r="567" spans="3:6" x14ac:dyDescent="0.25"/>
    <row r="568" spans="3:6" x14ac:dyDescent="0.25"/>
    <row r="569" spans="3:6" x14ac:dyDescent="0.25"/>
    <row r="570" spans="3:6" x14ac:dyDescent="0.25"/>
    <row r="571" spans="3:6" x14ac:dyDescent="0.25"/>
    <row r="572" spans="3:6" x14ac:dyDescent="0.25"/>
    <row r="573" spans="3:6" x14ac:dyDescent="0.25"/>
    <row r="574" spans="3:6" x14ac:dyDescent="0.25"/>
    <row r="575" spans="3:6" x14ac:dyDescent="0.25"/>
    <row r="576" spans="3:6" x14ac:dyDescent="0.25"/>
    <row r="577" spans="3:6" x14ac:dyDescent="0.25"/>
    <row r="578" spans="3:6" x14ac:dyDescent="0.25"/>
    <row r="579" spans="3:6" x14ac:dyDescent="0.25"/>
    <row r="580" spans="3:6" x14ac:dyDescent="0.25"/>
    <row r="581" spans="3:6" x14ac:dyDescent="0.25"/>
    <row r="582" spans="3:6" x14ac:dyDescent="0.25"/>
    <row r="583" spans="3:6" x14ac:dyDescent="0.25"/>
    <row r="584" spans="3:6" x14ac:dyDescent="0.25"/>
    <row r="585" spans="3:6" x14ac:dyDescent="0.25"/>
    <row r="586" spans="3:6" x14ac:dyDescent="0.25"/>
    <row r="587" spans="3:6" x14ac:dyDescent="0.25"/>
    <row r="588" spans="3:6" x14ac:dyDescent="0.25"/>
    <row r="589" spans="3:6" x14ac:dyDescent="0.25"/>
    <row r="590" spans="3:6" x14ac:dyDescent="0.25"/>
    <row r="591" spans="3:6" x14ac:dyDescent="0.25"/>
    <row r="592" spans="3:6" x14ac:dyDescent="0.25"/>
    <row r="593" spans="3:6" x14ac:dyDescent="0.25"/>
    <row r="594" spans="3:6" x14ac:dyDescent="0.25"/>
    <row r="595" spans="3:6" x14ac:dyDescent="0.25"/>
    <row r="596" spans="3:6" x14ac:dyDescent="0.25"/>
    <row r="597" spans="3:6" x14ac:dyDescent="0.25"/>
    <row r="598" spans="3:6" x14ac:dyDescent="0.25"/>
    <row r="599" spans="3:6" x14ac:dyDescent="0.25"/>
    <row r="600" spans="3:6" x14ac:dyDescent="0.25"/>
    <row r="601" spans="3:6" x14ac:dyDescent="0.25"/>
    <row r="602" spans="3:6" x14ac:dyDescent="0.25"/>
    <row r="603" spans="3:6" x14ac:dyDescent="0.25"/>
    <row r="604" spans="3:6" x14ac:dyDescent="0.25"/>
    <row r="605" spans="3:6" x14ac:dyDescent="0.25"/>
    <row r="606" spans="3:6" x14ac:dyDescent="0.25"/>
    <row r="607" spans="3:6" x14ac:dyDescent="0.25"/>
    <row r="608" spans="3:6" x14ac:dyDescent="0.25"/>
    <row r="609" spans="3:6" x14ac:dyDescent="0.25"/>
    <row r="610" spans="3:6" x14ac:dyDescent="0.25"/>
    <row r="611" spans="3:6" x14ac:dyDescent="0.25"/>
    <row r="612" spans="3:6" x14ac:dyDescent="0.25"/>
    <row r="613" spans="3:6" x14ac:dyDescent="0.25"/>
    <row r="614" spans="3:6" x14ac:dyDescent="0.25"/>
    <row r="615" spans="3:6" x14ac:dyDescent="0.25"/>
    <row r="616" spans="3:6" x14ac:dyDescent="0.25"/>
    <row r="617" spans="3:6" x14ac:dyDescent="0.25"/>
    <row r="618" spans="3:6" x14ac:dyDescent="0.25"/>
    <row r="619" spans="3:6" x14ac:dyDescent="0.25"/>
    <row r="620" spans="3:6" x14ac:dyDescent="0.25"/>
    <row r="621" spans="3:6" x14ac:dyDescent="0.25"/>
    <row r="622" spans="3:6" x14ac:dyDescent="0.25"/>
    <row r="623" spans="3:6" x14ac:dyDescent="0.25"/>
    <row r="624" spans="3:6" x14ac:dyDescent="0.25"/>
    <row r="625" spans="3:6" x14ac:dyDescent="0.25"/>
    <row r="626" spans="3:6" x14ac:dyDescent="0.25"/>
    <row r="627" spans="3:6" x14ac:dyDescent="0.25"/>
    <row r="628" spans="3:6" x14ac:dyDescent="0.25"/>
    <row r="629" spans="3:6" x14ac:dyDescent="0.25"/>
    <row r="630" spans="3:6" x14ac:dyDescent="0.25"/>
    <row r="631" spans="3:6" x14ac:dyDescent="0.25"/>
    <row r="632" spans="3:6" x14ac:dyDescent="0.25"/>
    <row r="633" spans="3:6" x14ac:dyDescent="0.25"/>
    <row r="634" spans="3:6" x14ac:dyDescent="0.25"/>
    <row r="635" spans="3:6" x14ac:dyDescent="0.25"/>
    <row r="636" spans="3:6" x14ac:dyDescent="0.25"/>
    <row r="637" spans="3:6" x14ac:dyDescent="0.25"/>
    <row r="638" spans="3:6" x14ac:dyDescent="0.25"/>
    <row r="639" spans="3:6" x14ac:dyDescent="0.25"/>
    <row r="640" spans="3:6" x14ac:dyDescent="0.25"/>
    <row r="641" spans="3:6" x14ac:dyDescent="0.25"/>
    <row r="642" spans="3:6" x14ac:dyDescent="0.25"/>
    <row r="643" spans="3:6" x14ac:dyDescent="0.25"/>
    <row r="644" spans="3:6" x14ac:dyDescent="0.25"/>
    <row r="645" spans="3:6" x14ac:dyDescent="0.25"/>
    <row r="646" spans="3:6" x14ac:dyDescent="0.25"/>
    <row r="647" spans="3:6" x14ac:dyDescent="0.25"/>
    <row r="648" spans="3:6" x14ac:dyDescent="0.25"/>
    <row r="649" spans="3:6" x14ac:dyDescent="0.25"/>
    <row r="650" spans="3:6" x14ac:dyDescent="0.25"/>
    <row r="651" spans="3:6" x14ac:dyDescent="0.25"/>
    <row r="652" spans="3:6" x14ac:dyDescent="0.25"/>
    <row r="653" spans="3:6" x14ac:dyDescent="0.25"/>
    <row r="654" spans="3:6" x14ac:dyDescent="0.25"/>
    <row r="655" spans="3:6" x14ac:dyDescent="0.25"/>
    <row r="656" spans="3:6" x14ac:dyDescent="0.25"/>
    <row r="657" spans="3:6" x14ac:dyDescent="0.25"/>
    <row r="658" spans="3:6" x14ac:dyDescent="0.25"/>
    <row r="659" spans="3:6" x14ac:dyDescent="0.25"/>
    <row r="660" spans="3:6" x14ac:dyDescent="0.25"/>
    <row r="661" spans="3:6" x14ac:dyDescent="0.25"/>
    <row r="662" spans="3:6" x14ac:dyDescent="0.25"/>
    <row r="663" spans="3:6" x14ac:dyDescent="0.25"/>
    <row r="664" spans="3:6" x14ac:dyDescent="0.25"/>
    <row r="665" spans="3:6" x14ac:dyDescent="0.25"/>
    <row r="666" spans="3:6" x14ac:dyDescent="0.25"/>
    <row r="667" spans="3:6" x14ac:dyDescent="0.25"/>
    <row r="668" spans="3:6" x14ac:dyDescent="0.25"/>
    <row r="669" spans="3:6" x14ac:dyDescent="0.25"/>
    <row r="670" spans="3:6" x14ac:dyDescent="0.25"/>
    <row r="671" spans="3:6" x14ac:dyDescent="0.25"/>
    <row r="672" spans="3:6" x14ac:dyDescent="0.25"/>
    <row r="673" spans="3:6" x14ac:dyDescent="0.25"/>
    <row r="674" spans="3:6" x14ac:dyDescent="0.25"/>
    <row r="675" spans="3:6" x14ac:dyDescent="0.25"/>
    <row r="676" spans="3:6" x14ac:dyDescent="0.25"/>
    <row r="677" spans="3:6" x14ac:dyDescent="0.25"/>
    <row r="678" spans="3:6" x14ac:dyDescent="0.25"/>
    <row r="679" spans="3:6" x14ac:dyDescent="0.25"/>
    <row r="680" spans="3:6" x14ac:dyDescent="0.25"/>
    <row r="681" spans="3:6" x14ac:dyDescent="0.25"/>
    <row r="682" spans="3:6" x14ac:dyDescent="0.25"/>
    <row r="683" spans="3:6" x14ac:dyDescent="0.25"/>
    <row r="684" spans="3:6" x14ac:dyDescent="0.25"/>
    <row r="685" spans="3:6" x14ac:dyDescent="0.25"/>
    <row r="686" spans="3:6" x14ac:dyDescent="0.25"/>
    <row r="687" spans="3:6" x14ac:dyDescent="0.25"/>
    <row r="688" spans="3:6" x14ac:dyDescent="0.25"/>
    <row r="689" spans="3:6" x14ac:dyDescent="0.25"/>
    <row r="690" spans="3:6" x14ac:dyDescent="0.25"/>
    <row r="691" spans="3:6" x14ac:dyDescent="0.25"/>
    <row r="692" spans="3:6" x14ac:dyDescent="0.25"/>
    <row r="693" spans="3:6" x14ac:dyDescent="0.25"/>
    <row r="694" spans="3:6" x14ac:dyDescent="0.25"/>
    <row r="695" spans="3:6" x14ac:dyDescent="0.25"/>
    <row r="696" spans="3:6" x14ac:dyDescent="0.25"/>
    <row r="697" spans="3:6" x14ac:dyDescent="0.25"/>
    <row r="698" spans="3:6" x14ac:dyDescent="0.25"/>
    <row r="699" spans="3:6" x14ac:dyDescent="0.25"/>
    <row r="700" spans="3:6" x14ac:dyDescent="0.25"/>
    <row r="701" spans="3:6" x14ac:dyDescent="0.25"/>
    <row r="702" spans="3:6" x14ac:dyDescent="0.25"/>
    <row r="703" spans="3:6" x14ac:dyDescent="0.25"/>
    <row r="704" spans="3:6" x14ac:dyDescent="0.25"/>
    <row r="705" spans="3:6" x14ac:dyDescent="0.25"/>
    <row r="706" spans="3:6" x14ac:dyDescent="0.25"/>
    <row r="707" spans="3:6" x14ac:dyDescent="0.25"/>
    <row r="708" spans="3:6" x14ac:dyDescent="0.25"/>
    <row r="709" spans="3:6" x14ac:dyDescent="0.25"/>
    <row r="710" spans="3:6" x14ac:dyDescent="0.25"/>
    <row r="711" spans="3:6" x14ac:dyDescent="0.25"/>
    <row r="712" spans="3:6" x14ac:dyDescent="0.25"/>
    <row r="713" spans="3:6" x14ac:dyDescent="0.25"/>
    <row r="714" spans="3:6" x14ac:dyDescent="0.25"/>
    <row r="715" spans="3:6" x14ac:dyDescent="0.25"/>
    <row r="716" spans="3:6" x14ac:dyDescent="0.25"/>
    <row r="717" spans="3:6" x14ac:dyDescent="0.25"/>
    <row r="718" spans="3:6" x14ac:dyDescent="0.25"/>
    <row r="719" spans="3:6" x14ac:dyDescent="0.25"/>
    <row r="720" spans="3:6" x14ac:dyDescent="0.25"/>
    <row r="721" spans="3:6" x14ac:dyDescent="0.25"/>
    <row r="722" spans="3:6" x14ac:dyDescent="0.25"/>
    <row r="723" spans="3:6" x14ac:dyDescent="0.25"/>
    <row r="724" spans="3:6" x14ac:dyDescent="0.25"/>
    <row r="725" spans="3:6" x14ac:dyDescent="0.25"/>
    <row r="726" spans="3:6" x14ac:dyDescent="0.25"/>
    <row r="727" spans="3:6" x14ac:dyDescent="0.25"/>
    <row r="728" spans="3:6" x14ac:dyDescent="0.25"/>
    <row r="729" spans="3:6" x14ac:dyDescent="0.25"/>
    <row r="730" spans="3:6" x14ac:dyDescent="0.25"/>
    <row r="731" spans="3:6" x14ac:dyDescent="0.25"/>
    <row r="732" spans="3:6" x14ac:dyDescent="0.25"/>
    <row r="733" spans="3:6" x14ac:dyDescent="0.25"/>
    <row r="734" spans="3:6" x14ac:dyDescent="0.25"/>
    <row r="735" spans="3:6" x14ac:dyDescent="0.25"/>
    <row r="736" spans="3:6" x14ac:dyDescent="0.25"/>
    <row r="737" spans="3:6" x14ac:dyDescent="0.25"/>
    <row r="738" spans="3:6" x14ac:dyDescent="0.25"/>
    <row r="739" spans="3:6" x14ac:dyDescent="0.25"/>
    <row r="740" spans="3:6" x14ac:dyDescent="0.25"/>
    <row r="741" spans="3:6" x14ac:dyDescent="0.25"/>
    <row r="742" spans="3:6" x14ac:dyDescent="0.25"/>
    <row r="743" spans="3:6" x14ac:dyDescent="0.25"/>
    <row r="744" spans="3:6" x14ac:dyDescent="0.25"/>
    <row r="745" spans="3:6" x14ac:dyDescent="0.25"/>
    <row r="746" spans="3:6" x14ac:dyDescent="0.25"/>
    <row r="747" spans="3:6" x14ac:dyDescent="0.25"/>
    <row r="748" spans="3:6" x14ac:dyDescent="0.25"/>
    <row r="749" spans="3:6" x14ac:dyDescent="0.25"/>
    <row r="750" spans="3:6" x14ac:dyDescent="0.25"/>
    <row r="751" spans="3:6" x14ac:dyDescent="0.25"/>
    <row r="752" spans="3:6" x14ac:dyDescent="0.25"/>
    <row r="753" spans="3:6" x14ac:dyDescent="0.25"/>
    <row r="754" spans="3:6" x14ac:dyDescent="0.25"/>
    <row r="755" spans="3:6" x14ac:dyDescent="0.25"/>
    <row r="756" spans="3:6" x14ac:dyDescent="0.25"/>
    <row r="757" spans="3:6" x14ac:dyDescent="0.25"/>
    <row r="758" spans="3:6" x14ac:dyDescent="0.25"/>
    <row r="759" spans="3:6" x14ac:dyDescent="0.25"/>
    <row r="760" spans="3:6" x14ac:dyDescent="0.25"/>
    <row r="761" spans="3:6" x14ac:dyDescent="0.25"/>
    <row r="762" spans="3:6" x14ac:dyDescent="0.25"/>
    <row r="763" spans="3:6" x14ac:dyDescent="0.25"/>
    <row r="764" spans="3:6" x14ac:dyDescent="0.25"/>
    <row r="765" spans="3:6" x14ac:dyDescent="0.25"/>
    <row r="766" spans="3:6" x14ac:dyDescent="0.25"/>
    <row r="767" spans="3:6" x14ac:dyDescent="0.25"/>
    <row r="768" spans="3:6" x14ac:dyDescent="0.25"/>
    <row r="769" spans="3:6" x14ac:dyDescent="0.25"/>
    <row r="770" spans="3:6" x14ac:dyDescent="0.25"/>
    <row r="771" spans="3:6" x14ac:dyDescent="0.25"/>
    <row r="772" spans="3:6" x14ac:dyDescent="0.25"/>
    <row r="773" spans="3:6" x14ac:dyDescent="0.25"/>
    <row r="774" spans="3:6" x14ac:dyDescent="0.25"/>
    <row r="775" spans="3:6" x14ac:dyDescent="0.25"/>
    <row r="776" spans="3:6" x14ac:dyDescent="0.25"/>
    <row r="777" spans="3:6" x14ac:dyDescent="0.25"/>
    <row r="778" spans="3:6" x14ac:dyDescent="0.25"/>
    <row r="779" spans="3:6" x14ac:dyDescent="0.25"/>
    <row r="780" spans="3:6" x14ac:dyDescent="0.25"/>
    <row r="781" spans="3:6" x14ac:dyDescent="0.25"/>
    <row r="782" spans="3:6" x14ac:dyDescent="0.25"/>
    <row r="783" spans="3:6" x14ac:dyDescent="0.25"/>
    <row r="784" spans="3:6" x14ac:dyDescent="0.25"/>
    <row r="785" spans="3:6" x14ac:dyDescent="0.25"/>
    <row r="786" spans="3:6" x14ac:dyDescent="0.25"/>
    <row r="787" spans="3:6" x14ac:dyDescent="0.25"/>
    <row r="788" spans="3:6" x14ac:dyDescent="0.25"/>
    <row r="789" spans="3:6" x14ac:dyDescent="0.25"/>
    <row r="790" spans="3:6" x14ac:dyDescent="0.25"/>
    <row r="791" spans="3:6" x14ac:dyDescent="0.25"/>
    <row r="792" spans="3:6" x14ac:dyDescent="0.25"/>
    <row r="793" spans="3:6" x14ac:dyDescent="0.25"/>
    <row r="794" spans="3:6" x14ac:dyDescent="0.25"/>
    <row r="795" spans="3:6" x14ac:dyDescent="0.25"/>
    <row r="796" spans="3:6" x14ac:dyDescent="0.25"/>
    <row r="797" spans="3:6" x14ac:dyDescent="0.25"/>
    <row r="798" spans="3:6" x14ac:dyDescent="0.25"/>
    <row r="799" spans="3:6" x14ac:dyDescent="0.25"/>
    <row r="800" spans="3:6" x14ac:dyDescent="0.25"/>
    <row r="801" spans="3:6" x14ac:dyDescent="0.25"/>
    <row r="802" spans="3:6" x14ac:dyDescent="0.25"/>
    <row r="803" spans="3:6" x14ac:dyDescent="0.25"/>
    <row r="804" spans="3:6" x14ac:dyDescent="0.25"/>
    <row r="805" spans="3:6" x14ac:dyDescent="0.25"/>
    <row r="806" spans="3:6" x14ac:dyDescent="0.25"/>
    <row r="807" spans="3:6" x14ac:dyDescent="0.25"/>
    <row r="808" spans="3:6" x14ac:dyDescent="0.25"/>
    <row r="809" spans="3:6" x14ac:dyDescent="0.25"/>
    <row r="810" spans="3:6" x14ac:dyDescent="0.25"/>
    <row r="811" spans="3:6" x14ac:dyDescent="0.25"/>
    <row r="812" spans="3:6" x14ac:dyDescent="0.25"/>
    <row r="813" spans="3:6" x14ac:dyDescent="0.25"/>
    <row r="814" spans="3:6" x14ac:dyDescent="0.25"/>
    <row r="815" spans="3:6" x14ac:dyDescent="0.25"/>
    <row r="816" spans="3:6" x14ac:dyDescent="0.25"/>
    <row r="817" spans="3:6" x14ac:dyDescent="0.25"/>
    <row r="818" spans="3:6" x14ac:dyDescent="0.25"/>
    <row r="819" spans="3:6" x14ac:dyDescent="0.25"/>
    <row r="820" spans="3:6" x14ac:dyDescent="0.25"/>
    <row r="821" spans="3:6" x14ac:dyDescent="0.25"/>
    <row r="822" spans="3:6" x14ac:dyDescent="0.25"/>
    <row r="823" spans="3:6" x14ac:dyDescent="0.25"/>
    <row r="824" spans="3:6" x14ac:dyDescent="0.25"/>
    <row r="825" spans="3:6" x14ac:dyDescent="0.25"/>
    <row r="826" spans="3:6" x14ac:dyDescent="0.25"/>
    <row r="827" spans="3:6" x14ac:dyDescent="0.25"/>
    <row r="828" spans="3:6" x14ac:dyDescent="0.25"/>
    <row r="829" spans="3:6" x14ac:dyDescent="0.25"/>
    <row r="830" spans="3:6" x14ac:dyDescent="0.25"/>
    <row r="831" spans="3:6" x14ac:dyDescent="0.25"/>
    <row r="832" spans="3:6" x14ac:dyDescent="0.25"/>
    <row r="833" spans="3:6" x14ac:dyDescent="0.25"/>
    <row r="834" spans="3:6" x14ac:dyDescent="0.25"/>
    <row r="835" spans="3:6" x14ac:dyDescent="0.25"/>
    <row r="836" spans="3:6" x14ac:dyDescent="0.25"/>
    <row r="837" spans="3:6" x14ac:dyDescent="0.25"/>
    <row r="838" spans="3:6" x14ac:dyDescent="0.25"/>
    <row r="839" spans="3:6" x14ac:dyDescent="0.25"/>
    <row r="840" spans="3:6" x14ac:dyDescent="0.25"/>
    <row r="841" spans="3:6" x14ac:dyDescent="0.25"/>
    <row r="842" spans="3:6" x14ac:dyDescent="0.25"/>
    <row r="843" spans="3:6" x14ac:dyDescent="0.25"/>
    <row r="844" spans="3:6" x14ac:dyDescent="0.25"/>
    <row r="845" spans="3:6" x14ac:dyDescent="0.25"/>
    <row r="846" spans="3:6" x14ac:dyDescent="0.25"/>
    <row r="847" spans="3:6" x14ac:dyDescent="0.25"/>
    <row r="848" spans="3:6" x14ac:dyDescent="0.25"/>
    <row r="849" spans="3:6" x14ac:dyDescent="0.25"/>
    <row r="850" spans="3:6" x14ac:dyDescent="0.25"/>
    <row r="851" spans="3:6" x14ac:dyDescent="0.25"/>
    <row r="852" spans="3:6" x14ac:dyDescent="0.25"/>
    <row r="853" spans="3:6" x14ac:dyDescent="0.25"/>
    <row r="854" spans="3:6" x14ac:dyDescent="0.25"/>
    <row r="855" spans="3:6" x14ac:dyDescent="0.25"/>
    <row r="856" spans="3:6" x14ac:dyDescent="0.25"/>
    <row r="857" spans="3:6" x14ac:dyDescent="0.25"/>
    <row r="858" spans="3:6" x14ac:dyDescent="0.25"/>
    <row r="859" spans="3:6" x14ac:dyDescent="0.25"/>
    <row r="860" spans="3:6" x14ac:dyDescent="0.25"/>
    <row r="861" spans="3:6" x14ac:dyDescent="0.25"/>
    <row r="862" spans="3:6" x14ac:dyDescent="0.25"/>
    <row r="863" spans="3:6" x14ac:dyDescent="0.25"/>
    <row r="864" spans="3:6" x14ac:dyDescent="0.25"/>
    <row r="865" spans="3:6" x14ac:dyDescent="0.25"/>
    <row r="866" spans="3:6" x14ac:dyDescent="0.25"/>
    <row r="867" spans="3:6" x14ac:dyDescent="0.25"/>
    <row r="868" spans="3:6" x14ac:dyDescent="0.25"/>
    <row r="869" spans="3:6" x14ac:dyDescent="0.25"/>
    <row r="870" spans="3:6" x14ac:dyDescent="0.25"/>
    <row r="871" spans="3:6" x14ac:dyDescent="0.25"/>
    <row r="872" spans="3:6" x14ac:dyDescent="0.25"/>
    <row r="873" spans="3:6" x14ac:dyDescent="0.25"/>
    <row r="874" spans="3:6" x14ac:dyDescent="0.25"/>
    <row r="875" spans="3:6" x14ac:dyDescent="0.25"/>
    <row r="876" spans="3:6" x14ac:dyDescent="0.25"/>
    <row r="877" spans="3:6" x14ac:dyDescent="0.25"/>
    <row r="878" spans="3:6" x14ac:dyDescent="0.25"/>
    <row r="879" spans="3:6" x14ac:dyDescent="0.25"/>
    <row r="880" spans="3:6" x14ac:dyDescent="0.25"/>
    <row r="881" spans="3:6" x14ac:dyDescent="0.25"/>
    <row r="882" spans="3:6" x14ac:dyDescent="0.25"/>
    <row r="883" spans="3:6" x14ac:dyDescent="0.25"/>
    <row r="884" spans="3:6" x14ac:dyDescent="0.25"/>
    <row r="885" spans="3:6" x14ac:dyDescent="0.25"/>
    <row r="886" spans="3:6" x14ac:dyDescent="0.25"/>
    <row r="887" spans="3:6" x14ac:dyDescent="0.25"/>
    <row r="888" spans="3:6" x14ac:dyDescent="0.25"/>
    <row r="889" spans="3:6" x14ac:dyDescent="0.25"/>
    <row r="890" spans="3:6" x14ac:dyDescent="0.25"/>
    <row r="891" spans="3:6" x14ac:dyDescent="0.25"/>
    <row r="892" spans="3:6" x14ac:dyDescent="0.25"/>
    <row r="893" spans="3:6" x14ac:dyDescent="0.25"/>
    <row r="894" spans="3:6" x14ac:dyDescent="0.25"/>
    <row r="895" spans="3:6" x14ac:dyDescent="0.25"/>
    <row r="896" spans="3:6" x14ac:dyDescent="0.25"/>
    <row r="897" spans="3:6" x14ac:dyDescent="0.25"/>
    <row r="898" spans="3:6" x14ac:dyDescent="0.25"/>
    <row r="899" spans="3:6" x14ac:dyDescent="0.25"/>
    <row r="900" spans="3:6" x14ac:dyDescent="0.25"/>
    <row r="901" spans="3:6" x14ac:dyDescent="0.25"/>
    <row r="902" spans="3:6" x14ac:dyDescent="0.25"/>
    <row r="903" spans="3:6" x14ac:dyDescent="0.25"/>
    <row r="904" spans="3:6" x14ac:dyDescent="0.25"/>
    <row r="905" spans="3:6" x14ac:dyDescent="0.25"/>
    <row r="906" spans="3:6" x14ac:dyDescent="0.25"/>
    <row r="907" spans="3:6" x14ac:dyDescent="0.25"/>
    <row r="908" spans="3:6" x14ac:dyDescent="0.25"/>
    <row r="909" spans="3:6" x14ac:dyDescent="0.25"/>
    <row r="910" spans="3:6" x14ac:dyDescent="0.25"/>
    <row r="911" spans="3:6" x14ac:dyDescent="0.25"/>
    <row r="912" spans="3:6" x14ac:dyDescent="0.25"/>
    <row r="913" spans="3:6" x14ac:dyDescent="0.25"/>
    <row r="914" spans="3:6" x14ac:dyDescent="0.25"/>
    <row r="915" spans="3:6" x14ac:dyDescent="0.25"/>
    <row r="916" spans="3:6" x14ac:dyDescent="0.25"/>
    <row r="917" spans="3:6" x14ac:dyDescent="0.25"/>
    <row r="918" spans="3:6" x14ac:dyDescent="0.25"/>
    <row r="919" spans="3:6" x14ac:dyDescent="0.25"/>
    <row r="920" spans="3:6" x14ac:dyDescent="0.25"/>
    <row r="921" spans="3:6" x14ac:dyDescent="0.25"/>
    <row r="922" spans="3:6" x14ac:dyDescent="0.25"/>
    <row r="923" spans="3:6" x14ac:dyDescent="0.25"/>
    <row r="924" spans="3:6" x14ac:dyDescent="0.25"/>
    <row r="925" spans="3:6" x14ac:dyDescent="0.25"/>
    <row r="926" spans="3:6" x14ac:dyDescent="0.25"/>
    <row r="927" spans="3:6" x14ac:dyDescent="0.25"/>
    <row r="928" spans="3:6" x14ac:dyDescent="0.25"/>
    <row r="929" spans="3:6" x14ac:dyDescent="0.25"/>
    <row r="930" spans="3:6" x14ac:dyDescent="0.25"/>
    <row r="931" spans="3:6" x14ac:dyDescent="0.25"/>
    <row r="932" spans="3:6" x14ac:dyDescent="0.25"/>
    <row r="933" spans="3:6" x14ac:dyDescent="0.25"/>
    <row r="934" spans="3:6" x14ac:dyDescent="0.25"/>
    <row r="935" spans="3:6" x14ac:dyDescent="0.25"/>
    <row r="936" spans="3:6" x14ac:dyDescent="0.25"/>
    <row r="937" spans="3:6" x14ac:dyDescent="0.25"/>
    <row r="938" spans="3:6" x14ac:dyDescent="0.25"/>
    <row r="939" spans="3:6" x14ac:dyDescent="0.25"/>
    <row r="940" spans="3:6" x14ac:dyDescent="0.25"/>
    <row r="941" spans="3:6" x14ac:dyDescent="0.25"/>
    <row r="942" spans="3:6" x14ac:dyDescent="0.25"/>
    <row r="943" spans="3:6" x14ac:dyDescent="0.25"/>
    <row r="944" spans="3:6" x14ac:dyDescent="0.25"/>
    <row r="945" spans="3:6" x14ac:dyDescent="0.25"/>
    <row r="946" spans="3:6" x14ac:dyDescent="0.25"/>
    <row r="947" spans="3:6" x14ac:dyDescent="0.25"/>
    <row r="948" spans="3:6" x14ac:dyDescent="0.25"/>
    <row r="949" spans="3:6" x14ac:dyDescent="0.25"/>
    <row r="950" spans="3:6" x14ac:dyDescent="0.25"/>
    <row r="951" spans="3:6" x14ac:dyDescent="0.25"/>
    <row r="952" spans="3:6" x14ac:dyDescent="0.25"/>
    <row r="953" spans="3:6" x14ac:dyDescent="0.25"/>
    <row r="954" spans="3:6" x14ac:dyDescent="0.25"/>
    <row r="955" spans="3:6" x14ac:dyDescent="0.25"/>
    <row r="956" spans="3:6" x14ac:dyDescent="0.25"/>
    <row r="957" spans="3:6" x14ac:dyDescent="0.25"/>
    <row r="958" spans="3:6" x14ac:dyDescent="0.25"/>
    <row r="959" spans="3:6" x14ac:dyDescent="0.25"/>
    <row r="960" spans="3:6" x14ac:dyDescent="0.25"/>
    <row r="961" spans="3:6" x14ac:dyDescent="0.25"/>
    <row r="962" spans="3:6" x14ac:dyDescent="0.25"/>
    <row r="963" spans="3:6" x14ac:dyDescent="0.25"/>
    <row r="964" spans="3:6" x14ac:dyDescent="0.25"/>
    <row r="965" spans="3:6" x14ac:dyDescent="0.25"/>
    <row r="966" spans="3:6" x14ac:dyDescent="0.25"/>
    <row r="967" spans="3:6" x14ac:dyDescent="0.25"/>
    <row r="968" spans="3:6" x14ac:dyDescent="0.25"/>
    <row r="969" spans="3:6" x14ac:dyDescent="0.25"/>
    <row r="970" spans="3:6" x14ac:dyDescent="0.25"/>
    <row r="971" spans="3:6" x14ac:dyDescent="0.25"/>
    <row r="972" spans="3:6" x14ac:dyDescent="0.25"/>
    <row r="973" spans="3:6" x14ac:dyDescent="0.25"/>
    <row r="974" spans="3:6" x14ac:dyDescent="0.25"/>
    <row r="975" spans="3:6" x14ac:dyDescent="0.25"/>
    <row r="976" spans="3:6" x14ac:dyDescent="0.25"/>
    <row r="977" spans="3:6" x14ac:dyDescent="0.25"/>
    <row r="978" spans="3:6" x14ac:dyDescent="0.25"/>
    <row r="979" spans="3:6" x14ac:dyDescent="0.25"/>
    <row r="980" spans="3:6" x14ac:dyDescent="0.25"/>
    <row r="981" spans="3:6" x14ac:dyDescent="0.25"/>
    <row r="982" spans="3:6" x14ac:dyDescent="0.25"/>
    <row r="983" spans="3:6" x14ac:dyDescent="0.25"/>
    <row r="984" spans="3:6" x14ac:dyDescent="0.25"/>
    <row r="985" spans="3:6" x14ac:dyDescent="0.25"/>
    <row r="986" spans="3:6" x14ac:dyDescent="0.25"/>
    <row r="987" spans="3:6" x14ac:dyDescent="0.25"/>
    <row r="988" spans="3:6" x14ac:dyDescent="0.25"/>
    <row r="989" spans="3:6" x14ac:dyDescent="0.25"/>
    <row r="990" spans="3:6" x14ac:dyDescent="0.25"/>
    <row r="991" spans="3:6" x14ac:dyDescent="0.25"/>
    <row r="992" spans="3:6" x14ac:dyDescent="0.25"/>
    <row r="993" spans="3:6" x14ac:dyDescent="0.25"/>
    <row r="994" spans="3:6" x14ac:dyDescent="0.25"/>
    <row r="995" spans="3:6" x14ac:dyDescent="0.25"/>
    <row r="996" spans="3:6" x14ac:dyDescent="0.25"/>
    <row r="997" spans="3:6" x14ac:dyDescent="0.25"/>
    <row r="998" spans="3:6" x14ac:dyDescent="0.25"/>
    <row r="999" spans="3:6" x14ac:dyDescent="0.25"/>
    <row r="1000" spans="3:6" x14ac:dyDescent="0.25"/>
    <row r="1001" spans="3:6" x14ac:dyDescent="0.25"/>
    <row r="1002" spans="3:6" x14ac:dyDescent="0.25"/>
    <row r="1003" spans="3:6" x14ac:dyDescent="0.25"/>
  </sheetData>
  <mergeCells count="2">
    <mergeCell ref="A1:AQ1"/>
    <mergeCell ref="A2:AQ2"/>
  </mergeCells>
  <dataValidations count="10">
    <dataValidation type="list" allowBlank="1" showInputMessage="1" promptTitle="Empresa de Servicio" prompt="Seleccione la empresa de servicio del maestro." showErrorMessage="1" errorStyle="warning" errorTitle="Valor no encontrado" error="El valor ingresado no está en el maestro &quot;Empresa de Servicio&quot;. Puede ingresarlo igual pero el sistema intentará buscarlo por coincidencia." sqref="C10:C1003">
      <formula1>MAESTRO_EMP_SERVICIO!$A$4:$A$5</formula1>
    </dataValidation>
    <dataValidation type="list" allowBlank="1" showInputMessage="1" promptTitle="Empresa de Servicio" prompt="Seleccione la empresa de servicio del maestro." showErrorMessage="1" errorStyle="warning" errorTitle="Valor no encontrado" error="El valor ingresado no está en el maestro &quot;Empresa de Servicio&quot;. Puede ingresarlo igual pero el sistema intentará buscarlo por coincidencia." sqref="C4:C1003">
      <formula1>MAESTRO_EMP_SERVICIO!$A$4:$A$5</formula1>
    </dataValidation>
    <dataValidation type="list" allowBlank="1" showInputMessage="1" promptTitle="Empresa a Facturar" prompt="Seleccione la empresa a facturar del maestro o escriba el nombre exacto." showErrorMessage="1" errorStyle="warning" errorTitle="Valor no encontrado" error="El valor ingresado no está en el maestro &quot;Empresa a Facturar&quot;. Puede ingresarlo igual pero el sistema intentará buscarlo por coincidencia." sqref="D10:D1003">
      <formula1>MAESTRO_EMP_FACTURAR!$A$4:$A$8</formula1>
    </dataValidation>
    <dataValidation type="list" allowBlank="1" showInputMessage="1" promptTitle="Empresa a Facturar" prompt="Seleccione la empresa a facturar del maestro o escriba el nombre exacto." showErrorMessage="1" errorStyle="warning" errorTitle="Valor no encontrado" error="El valor ingresado no está en el maestro &quot;Empresa a Facturar&quot;. Puede ingresarlo igual pero el sistema intentará buscarlo por coincidencia." sqref="D4:D1003">
      <formula1>MAESTRO_EMP_FACTURAR!$A$4:$A$8</formula1>
    </dataValidation>
    <dataValidation type="list" allowBlank="1" showInputMessage="1" promptTitle="Centro / Fuente Emisora" prompt="Seleccione el centro/fuente emisora del maestro." showErrorMessage="1" errorStyle="warning" errorTitle="Valor no encontrado" error="El valor ingresado no está en el maestro &quot;Centro / Fuente Emisora&quot;. Puede ingresarlo igual pero el sistema intentará buscarlo por coincidencia." sqref="F10:F1003">
      <formula1>MAESTRO_CENTROS!$A$4:$A$6</formula1>
    </dataValidation>
    <dataValidation type="list" allowBlank="1" showInputMessage="1" promptTitle="Centro / Fuente Emisora" prompt="Seleccione el centro/fuente emisora del maestro." showErrorMessage="1" errorStyle="warning" errorTitle="Valor no encontrado" error="El valor ingresado no está en el maestro &quot;Centro / Fuente Emisora&quot;. Puede ingresarlo igual pero el sistema intentará buscarlo por coincidencia." sqref="F4:F1003">
      <formula1>MAESTRO_CENTROS!$A$4:$A$6</formula1>
    </dataValidation>
    <dataValidation type="list" allowBlank="1" sqref="M10:M200">
      <formula1>"Hora,Diaria,Semanal,Mensual,Bimensual,Trimestral,Cuatrimestral,Semestral,Anual,Eventual,Remuestreo,Bimestral,Puntual,Eventual,No Aplica"</formula1>
    </dataValidation>
    <dataValidation type="list" allowBlank="1" sqref="M4:M200">
      <formula1>"Hora,Diaria,Semanal,Mensual,Bimensual,Trimestral,Cuatrimestral,Semestral,Anual,Eventual,Remuestreo,Bimestral,Puntual,Eventual,No Aplica"</formula1>
    </dataValidation>
    <dataValidation sqref="O10:O200"/>
    <dataValidation sqref="O4:O200"/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5C2E"/>
  </sheetPr>
  <dimension ref="A1:K514"/>
  <sheetViews>
    <sheetView workbookViewId="0" zoomScale="100" zoomScaleNormal="100">
      <pane xSplit="2" ySplit="3" topLeftCell="D4" activePane="bottomRight" state="frozen"/>
      <selection pane="bottomRight" activeCell="I4" sqref="I4"/>
    </sheetView>
  </sheetViews>
  <sheetFormatPr defaultRowHeight="14.4" outlineLevelRow="0" outlineLevelCol="0" x14ac:dyDescent="0.3" defaultColWidth="8.88671875" customHeight="1"/>
  <cols>
    <col min="1" max="1" width="14" customWidth="1"/>
    <col min="2" max="2" width="30" customWidth="1"/>
    <col min="3" max="3" width="18" customWidth="1"/>
    <col min="4" max="4" width="26" customWidth="1"/>
    <col min="5" max="5" width="18" customWidth="1"/>
    <col min="6" max="6" width="22" customWidth="1"/>
    <col min="7" max="7" width="26" customWidth="1"/>
    <col min="8" max="8" width="22" customWidth="1"/>
    <col min="9" max="9" width="18" customWidth="1"/>
    <col min="10" max="11" width="0.1" hidden="1" customWidth="1"/>
  </cols>
  <sheetData>
    <row r="1" ht="15.6" customHeight="1" spans="1:10" x14ac:dyDescent="0.25">
      <c r="A1" s="9" t="s">
        <v>62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s="2" t="s">
        <v>63</v>
      </c>
      <c r="B2" s="2"/>
      <c r="C2" s="2"/>
      <c r="D2" s="2"/>
      <c r="E2" s="2"/>
      <c r="F2" s="2"/>
      <c r="G2" s="2"/>
      <c r="H2" s="2"/>
      <c r="I2" s="2"/>
      <c r="J2" s="2"/>
    </row>
    <row r="3" ht="34.95" customHeight="1" spans="1:11" x14ac:dyDescent="0.25">
      <c r="A3" s="4" t="s">
        <v>0</v>
      </c>
      <c r="B3" s="4" t="s">
        <v>64</v>
      </c>
      <c r="C3" s="4" t="s">
        <v>65</v>
      </c>
      <c r="D3" s="4" t="s">
        <v>66</v>
      </c>
      <c r="E3" s="4" t="s">
        <v>67</v>
      </c>
      <c r="F3" s="4" t="s">
        <v>68</v>
      </c>
      <c r="G3" s="4" t="s">
        <v>69</v>
      </c>
      <c r="H3" s="4" t="s">
        <v>70</v>
      </c>
      <c r="I3" s="3" t="s">
        <v>71</v>
      </c>
      <c r="J3" s="4"/>
      <c r="K3" s="4"/>
    </row>
    <row r="4" ht="19.95" customHeight="1" spans="1:11" x14ac:dyDescent="0.25">
      <c r="A4" s="5" t="s">
        <v>39</v>
      </c>
      <c r="B4" s="5" t="s">
        <v>72</v>
      </c>
      <c r="C4" s="5" t="s">
        <v>73</v>
      </c>
      <c r="D4" s="5" t="s">
        <v>47</v>
      </c>
      <c r="E4" s="5" t="s">
        <v>74</v>
      </c>
      <c r="F4" s="5" t="s">
        <v>75</v>
      </c>
      <c r="G4" s="5" t="s">
        <v>76</v>
      </c>
      <c r="H4" s="5"/>
      <c r="I4" s="5">
        <v>2</v>
      </c>
      <c r="J4" s="5"/>
      <c r="K4" s="5"/>
    </row>
    <row r="5" ht="19.95" customHeight="1" spans="1:11" x14ac:dyDescent="0.25">
      <c r="A5" s="5" t="s">
        <v>39</v>
      </c>
      <c r="B5" s="5" t="s">
        <v>77</v>
      </c>
      <c r="C5" s="5" t="s">
        <v>73</v>
      </c>
      <c r="D5" s="5" t="s">
        <v>47</v>
      </c>
      <c r="E5" s="5" t="s">
        <v>74</v>
      </c>
      <c r="F5" s="5" t="s">
        <v>75</v>
      </c>
      <c r="G5" s="5" t="s">
        <v>76</v>
      </c>
      <c r="H5" s="5"/>
      <c r="I5" s="5">
        <v>2</v>
      </c>
      <c r="J5" s="5"/>
      <c r="K5" s="5"/>
    </row>
    <row r="6" ht="19.95" customHeight="1" spans="1:11" x14ac:dyDescent="0.25">
      <c r="A6" s="5" t="s">
        <v>39</v>
      </c>
      <c r="B6" s="5" t="s">
        <v>78</v>
      </c>
      <c r="C6" s="5" t="s">
        <v>73</v>
      </c>
      <c r="D6" s="5" t="s">
        <v>47</v>
      </c>
      <c r="E6" s="5" t="s">
        <v>74</v>
      </c>
      <c r="F6" s="5"/>
      <c r="G6" s="5"/>
      <c r="H6" s="5"/>
      <c r="I6" s="5">
        <v>2</v>
      </c>
      <c r="J6" s="5"/>
      <c r="K6" s="5"/>
    </row>
    <row r="7" ht="19.95" customHeight="1" spans="1:11" x14ac:dyDescent="0.25">
      <c r="A7" s="5" t="s">
        <v>39</v>
      </c>
      <c r="B7" s="5" t="s">
        <v>79</v>
      </c>
      <c r="C7" s="5" t="s">
        <v>80</v>
      </c>
      <c r="D7" s="5" t="s">
        <v>81</v>
      </c>
      <c r="E7" s="5" t="s">
        <v>82</v>
      </c>
      <c r="F7" s="5" t="s">
        <v>75</v>
      </c>
      <c r="G7" s="5" t="s">
        <v>76</v>
      </c>
      <c r="H7" s="5"/>
      <c r="I7" s="5">
        <v>2</v>
      </c>
      <c r="J7" s="5"/>
      <c r="K7" s="5"/>
    </row>
    <row r="8" ht="19.95" customHeight="1" spans="1:11" x14ac:dyDescent="0.25">
      <c r="A8" s="5" t="s">
        <v>39</v>
      </c>
      <c r="B8" s="5" t="s">
        <v>83</v>
      </c>
      <c r="C8" s="5" t="s">
        <v>80</v>
      </c>
      <c r="D8" s="5" t="s">
        <v>81</v>
      </c>
      <c r="E8" s="5" t="s">
        <v>82</v>
      </c>
      <c r="F8" s="5" t="s">
        <v>75</v>
      </c>
      <c r="G8" s="5" t="s">
        <v>76</v>
      </c>
      <c r="H8" s="5"/>
      <c r="I8" s="5">
        <v>2</v>
      </c>
      <c r="J8" s="5"/>
      <c r="K8" s="5"/>
    </row>
    <row r="9" ht="19.95" customHeight="1" spans="1:11" x14ac:dyDescent="0.25">
      <c r="A9" s="5" t="s">
        <v>39</v>
      </c>
      <c r="B9" s="5" t="s">
        <v>84</v>
      </c>
      <c r="C9" s="5" t="s">
        <v>80</v>
      </c>
      <c r="D9" s="5" t="s">
        <v>81</v>
      </c>
      <c r="E9" s="5" t="s">
        <v>82</v>
      </c>
      <c r="F9" s="5" t="s">
        <v>75</v>
      </c>
      <c r="G9" s="5" t="s">
        <v>76</v>
      </c>
      <c r="H9" s="5"/>
      <c r="I9" s="5">
        <v>2</v>
      </c>
      <c r="J9" s="5"/>
      <c r="K9" s="5"/>
    </row>
    <row r="10" ht="19.95" customHeight="1" spans="1:11" x14ac:dyDescent="0.25">
      <c r="A10" s="5" t="s">
        <v>39</v>
      </c>
      <c r="B10" s="5" t="s">
        <v>85</v>
      </c>
      <c r="C10" s="5" t="s">
        <v>80</v>
      </c>
      <c r="D10" s="5" t="s">
        <v>81</v>
      </c>
      <c r="E10" s="5" t="s">
        <v>82</v>
      </c>
      <c r="F10" s="5" t="s">
        <v>75</v>
      </c>
      <c r="G10" s="5" t="s">
        <v>76</v>
      </c>
      <c r="H10" s="5"/>
      <c r="I10" s="5">
        <v>2</v>
      </c>
      <c r="J10" s="5"/>
      <c r="K10" s="5"/>
    </row>
    <row r="11" ht="19.95" customHeight="1" spans="1:11" x14ac:dyDescent="0.25">
      <c r="A11" s="5" t="s">
        <v>39</v>
      </c>
      <c r="B11" s="5" t="s">
        <v>86</v>
      </c>
      <c r="C11" s="5" t="s">
        <v>80</v>
      </c>
      <c r="D11" s="5" t="s">
        <v>81</v>
      </c>
      <c r="E11" s="5" t="s">
        <v>82</v>
      </c>
      <c r="F11" s="5" t="s">
        <v>75</v>
      </c>
      <c r="G11" s="5" t="s">
        <v>76</v>
      </c>
      <c r="H11" s="5"/>
      <c r="I11" s="5">
        <v>2</v>
      </c>
      <c r="J11" s="5"/>
      <c r="K11" s="5"/>
    </row>
    <row r="12" ht="19.95" customHeight="1" spans="1:11" x14ac:dyDescent="0.25">
      <c r="A12" s="5" t="s">
        <v>39</v>
      </c>
      <c r="B12" s="5" t="s">
        <v>87</v>
      </c>
      <c r="C12" s="5" t="s">
        <v>80</v>
      </c>
      <c r="D12" s="5" t="s">
        <v>81</v>
      </c>
      <c r="E12" s="5" t="s">
        <v>82</v>
      </c>
      <c r="F12" s="5" t="s">
        <v>75</v>
      </c>
      <c r="G12" s="5" t="s">
        <v>76</v>
      </c>
      <c r="H12" s="5"/>
      <c r="I12" s="5">
        <v>2</v>
      </c>
      <c r="J12" s="5"/>
      <c r="K12" s="5"/>
    </row>
    <row r="13" ht="19.95" customHeight="1" spans="1:11" x14ac:dyDescent="0.25">
      <c r="A13" s="5" t="s">
        <v>39</v>
      </c>
      <c r="B13" s="5" t="s">
        <v>88</v>
      </c>
      <c r="C13" s="5" t="s">
        <v>80</v>
      </c>
      <c r="D13" s="5" t="s">
        <v>81</v>
      </c>
      <c r="E13" s="5" t="s">
        <v>82</v>
      </c>
      <c r="F13" s="5" t="s">
        <v>75</v>
      </c>
      <c r="G13" s="5" t="s">
        <v>76</v>
      </c>
      <c r="H13" s="5"/>
      <c r="I13" s="5">
        <v>2</v>
      </c>
      <c r="J13" s="5"/>
      <c r="K13" s="5"/>
    </row>
    <row r="14" ht="19.95" customHeight="1" spans="1:1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ht="19.95" customHeight="1" spans="1:11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ht="19.95" customHeight="1" spans="1:1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ht="19.95" customHeight="1" spans="1:1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ht="19.95" customHeight="1" spans="1:1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ht="19.95" customHeight="1" spans="1:11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9.95" customHeight="1" spans="1:1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ht="19.95" customHeight="1" spans="1:1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9.95" customHeight="1" spans="1:1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ht="19.95" customHeight="1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9.95" customHeight="1" spans="1:1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9.95" customHeight="1" spans="1:1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19.95" customHeight="1" spans="1:1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9.95" customHeight="1" spans="1:1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9.95" customHeight="1" spans="1:1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9.95" customHeight="1" spans="1:1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9.95" customHeight="1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19.95" customHeight="1" spans="1:1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ht="19.95" customHeight="1" spans="1:1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9.95" customHeight="1" spans="1:1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9.95" customHeight="1" spans="1:1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9.95" customHeight="1" spans="1:1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9.95" customHeight="1" spans="1:1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9.95" customHeight="1" spans="1:1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9.95" customHeight="1" spans="1:1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9.95" customHeight="1" spans="1:1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19.95" customHeight="1" spans="1:1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ht="19.95" customHeight="1" spans="1:1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ht="19.95" customHeight="1" spans="1:1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ht="19.95" customHeight="1" spans="1:1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9.95" customHeight="1" spans="1:1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9.95" customHeight="1" spans="1:1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9.95" customHeight="1" spans="1:1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9.95" customHeight="1" spans="1:1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9.95" customHeight="1" spans="1:1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9.95" customHeight="1" spans="1:1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19.95" customHeight="1" spans="1:1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9.95" customHeight="1" spans="1:1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19.95" customHeight="1" spans="1:1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19.95" customHeight="1" spans="1:1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19.95" customHeight="1" spans="1:1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9.95" customHeight="1" spans="1:1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9.95" customHeight="1" spans="1:1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9.95" customHeight="1" spans="1:1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9.95" customHeight="1" spans="1:1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9.95" customHeight="1" spans="1:1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9.95" customHeight="1" spans="1:1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9.95" customHeight="1" spans="1:1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9.95" customHeight="1" spans="1:1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9.95" customHeight="1" spans="1:1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9.95" customHeight="1" spans="1:1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19.95" customHeight="1" spans="1:1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ht="19.95" customHeight="1" spans="1:1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19.95" customHeight="1" spans="1:1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19.95" customHeight="1" spans="1:1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19.95" customHeight="1" spans="1:1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ht="19.95" customHeight="1" spans="1:1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19.95" customHeight="1" spans="1:1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19.95" customHeight="1" spans="1:1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19.95" customHeight="1" spans="1:1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19.95" customHeight="1" spans="1:1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19.95" customHeight="1" spans="1:1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19.95" customHeight="1" spans="1:1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19.95" customHeight="1" spans="1:1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19.95" customHeight="1" spans="1:1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19.95" customHeight="1" spans="1:1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9.95" customHeight="1" spans="1:1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19.95" customHeight="1" spans="1:1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19.95" customHeight="1" spans="1:1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19.95" customHeight="1" spans="1:1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9.95" customHeight="1" spans="1:1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9.95" customHeight="1" spans="1:1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19.95" customHeight="1" spans="1:1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19.95" customHeight="1" spans="1:1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9.95" customHeight="1" spans="1:1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9.95" customHeight="1" spans="1:1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9.95" customHeight="1" spans="1:1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9.95" customHeight="1" spans="1:1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9.95" customHeight="1" spans="1:1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9.95" customHeight="1" spans="1:1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9.95" customHeight="1" spans="1:1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9.95" customHeight="1" spans="1:1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9.95" customHeight="1" spans="1:1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9.95" customHeight="1" spans="1:1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9.95" customHeight="1" spans="1:1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9.95" customHeight="1" spans="1:1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9.95" customHeight="1" spans="1:1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ht="19.95" customHeight="1" spans="1:1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ht="19.95" customHeight="1" spans="1:1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ht="19.95" customHeight="1" spans="1:1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ht="19.95" customHeight="1" spans="1:1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ht="19.95" customHeight="1" spans="1:1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ht="19.95" customHeight="1" spans="1:1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ht="19.95" customHeight="1" spans="1:1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ht="19.95" customHeight="1" spans="1:1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ht="19.95" customHeight="1" spans="1:1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ht="19.95" customHeight="1" spans="1:1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ht="19.95" customHeight="1" spans="1:1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19.95" customHeight="1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ht="19.95" customHeight="1" spans="1:1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ht="19.95" customHeight="1" spans="1:1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ht="19.95" customHeight="1" spans="1:1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9.95" customHeight="1" spans="1:1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ht="19.95" customHeight="1" spans="1:1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9.95" customHeight="1" spans="1:1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ht="19.95" customHeight="1" spans="1:1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ht="19.95" customHeight="1" spans="1:1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ht="19.95" customHeight="1" spans="1:1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ht="19.95" customHeight="1" spans="1:1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ht="19.95" customHeight="1" spans="1:1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ht="19.95" customHeight="1" spans="1:1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9.95" customHeight="1" spans="1:1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ht="19.95" customHeight="1" spans="1:1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9.95" customHeight="1" spans="1:1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9.95" customHeight="1" spans="1:1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9.95" customHeight="1" spans="1:1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9.95" customHeight="1" spans="1:1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9.95" customHeight="1" spans="1:1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9.95" customHeight="1" spans="1:1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9.95" customHeight="1" spans="1:1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9.95" customHeight="1" spans="1:1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9.95" customHeight="1" spans="1:1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9.95" customHeight="1" spans="1:1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9.95" customHeight="1" spans="1:1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9.95" customHeight="1" spans="1:1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9.95" customHeight="1" spans="1:1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9.95" customHeight="1" spans="1:1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9.95" customHeight="1" spans="1:1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9.95" customHeight="1" spans="1:1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9.95" customHeight="1" spans="1:1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9.95" customHeight="1" spans="1:1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9.95" customHeight="1" spans="1:1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9.95" customHeight="1" spans="1:1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9.95" customHeight="1" spans="1:1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9.95" customHeight="1" spans="1:1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9.95" customHeight="1" spans="1:1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9.95" customHeight="1" spans="1:1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9.95" customHeight="1" spans="1:1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9.95" customHeight="1" spans="1:1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9.95" customHeight="1" spans="1:1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9.95" customHeight="1" spans="1:1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9.95" customHeight="1" spans="1:1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9.95" customHeight="1" spans="1:1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9.95" customHeight="1" spans="1:1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9.95" customHeight="1" spans="1:1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9.95" customHeight="1" spans="1:1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9.95" customHeight="1" spans="1:1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9.95" customHeight="1" spans="1:1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9.95" customHeight="1" spans="1:1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9.95" customHeight="1" spans="1:1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9.95" customHeight="1" spans="1:1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9.95" customHeight="1" spans="1:1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9.95" customHeight="1" spans="1:1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9.95" customHeight="1" spans="1:1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9.95" customHeight="1" spans="1:1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9.95" customHeight="1" spans="1:1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9.95" customHeight="1" spans="1:1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9.95" customHeight="1" spans="1:1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9.95" customHeight="1" spans="1:1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9.95" customHeight="1" spans="1:1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9.95" customHeight="1" spans="1:1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9.95" customHeight="1" spans="1:1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9.95" customHeight="1" spans="1:1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9.95" customHeight="1" spans="1:1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9.95" customHeight="1" spans="1:1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9.95" customHeight="1" spans="1:1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9.95" customHeight="1" spans="1:1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9.95" customHeight="1" spans="1:1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9.95" customHeight="1" spans="1:1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9.95" customHeight="1" spans="1:1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9.95" customHeight="1" spans="1:1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9.95" customHeight="1" spans="1:1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9.95" customHeight="1" spans="1:1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9.95" customHeight="1" spans="1:1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9.95" customHeight="1" spans="1:1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9.95" customHeight="1" spans="1:1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9.95" customHeight="1" spans="1:1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9.95" customHeight="1" spans="1:1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9.95" customHeight="1" spans="1:1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9.95" customHeight="1" spans="1:1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9.95" customHeight="1" spans="1:1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9.95" customHeight="1" spans="1:1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9.95" customHeight="1" spans="1:1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9.95" customHeight="1" spans="1:1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9.95" customHeight="1" spans="1:1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9.95" customHeight="1" spans="1:1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9.95" customHeight="1" spans="1:1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9.95" customHeight="1" spans="1:1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9.95" customHeight="1" spans="1:1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9.95" customHeight="1" spans="1:1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9.95" customHeight="1" spans="1:1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9.95" customHeight="1" spans="1:1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9.95" customHeight="1" spans="1:1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9.95" customHeight="1" spans="1:1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9.95" customHeight="1" spans="1:1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9.95" customHeight="1" spans="1:1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9.95" customHeight="1" spans="1:1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9.95" customHeight="1" spans="1:1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9.95" customHeight="1" spans="1:1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9.95" customHeight="1" spans="1:1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9.95" customHeight="1" spans="1:1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9.95" customHeight="1" spans="1:1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9.95" customHeight="1" spans="1:1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9.95" customHeight="1" spans="1:1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9.95" customHeight="1" spans="1:1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9.95" customHeight="1" spans="1:1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9.95" customHeight="1" spans="1:1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9.95" customHeight="1" spans="1:11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9.95" customHeight="1" spans="1:11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9.95" customHeight="1" spans="1:11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9.95" customHeight="1" spans="1:11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9.95" customHeight="1" spans="1:11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9.95" customHeight="1" spans="1:11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9.95" customHeight="1" spans="1:11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9.95" customHeight="1" spans="1:11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9.95" customHeight="1" spans="1:11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9.95" customHeight="1" spans="1:11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9.95" customHeight="1" spans="1:11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9.95" customHeight="1" spans="1:11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9.95" customHeight="1" spans="1:11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9.95" customHeight="1" spans="1:11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9.95" customHeight="1" spans="1:11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9.95" customHeight="1" spans="1:11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9.95" customHeight="1" spans="1:11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9.95" customHeight="1" spans="1:11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9.95" customHeight="1" spans="1:11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9.95" customHeight="1" spans="1:11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9.95" customHeight="1" spans="1:11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9.95" customHeight="1" spans="1:11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9.95" customHeight="1" spans="1:11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9.95" customHeight="1" spans="1:11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9.95" customHeight="1" spans="1:11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9.95" customHeight="1" spans="1:11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9.95" customHeight="1" spans="1:11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9.95" customHeight="1" spans="1:11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9.95" customHeight="1" spans="1:11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9.95" customHeight="1" spans="1:11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9.95" customHeight="1" spans="1:11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9.95" customHeight="1" spans="1:11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9.95" customHeight="1" spans="1:11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9.95" customHeight="1" spans="1:11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9.95" customHeight="1" spans="1:11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9.95" customHeight="1" spans="1:11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9.95" customHeight="1" spans="1:11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9.95" customHeight="1" spans="1:11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9.95" customHeight="1" spans="1:11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9.95" customHeight="1" spans="1:11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9.95" customHeight="1" spans="1:11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9.95" customHeight="1" spans="1:11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9.95" customHeight="1" spans="1:11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9.95" customHeight="1" spans="1:11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9.95" customHeight="1" spans="1:11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9.95" customHeight="1" spans="1:11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9.95" customHeight="1" spans="1:11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9.95" customHeight="1" spans="1:11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9.95" customHeight="1" spans="1:11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9.95" customHeight="1" spans="1:11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9.95" customHeight="1" spans="1:11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9.95" customHeight="1" spans="1:11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9.95" customHeight="1" spans="1:11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9.95" customHeight="1" spans="1:11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9.95" customHeight="1" spans="1:11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9.95" customHeight="1" spans="1:11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9.95" customHeight="1" spans="1:11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9.95" customHeight="1" spans="1:11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9.95" customHeight="1" spans="1:11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9.95" customHeight="1" spans="1:11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9.95" customHeight="1" spans="1:11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9.95" customHeight="1" spans="1:11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9.95" customHeight="1" spans="1:11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9.95" customHeight="1" spans="1:11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9.95" customHeight="1" spans="1:11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9.95" customHeight="1" spans="1:11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9.95" customHeight="1" spans="1:11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9.95" customHeight="1" spans="1:11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9.95" customHeight="1" spans="1:11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9.95" customHeight="1" spans="1:11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9.95" customHeight="1" spans="1:11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9.95" customHeight="1" spans="1:11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9.95" customHeight="1" spans="1:11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9.95" customHeight="1" spans="1:11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9.95" customHeight="1" spans="1:11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9.95" customHeight="1" spans="1:11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9.95" customHeight="1" spans="1:11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9.95" customHeight="1" spans="1:11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9.95" customHeight="1" spans="1:11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9.95" customHeight="1" spans="1:11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9.95" customHeight="1" spans="1:11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9.95" customHeight="1" spans="1:11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9.95" customHeight="1" spans="1:11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9.95" customHeight="1" spans="1:11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9.95" customHeight="1" spans="1:11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9.95" customHeight="1" spans="1:11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9.95" customHeight="1" spans="1:11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9.95" customHeight="1" spans="1:11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9.95" customHeight="1" spans="1:11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9.95" customHeight="1" spans="1:11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9.95" customHeight="1" spans="1:11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9.95" customHeight="1" spans="1:11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9.95" customHeight="1" spans="1:11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9.95" customHeight="1" spans="1:11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9.95" customHeight="1" spans="1:11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9.95" customHeight="1" spans="1:11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9.95" customHeight="1" spans="1:11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9.95" customHeight="1" spans="1:11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9.95" customHeight="1" spans="1:11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9.95" customHeight="1" spans="1:11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9.95" customHeight="1" spans="1:11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9.95" customHeight="1" spans="1:11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9.95" customHeight="1" spans="1:11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9.95" customHeight="1" spans="1:11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9.95" customHeight="1" spans="1:11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9.95" customHeight="1" spans="1:11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9.95" customHeight="1" spans="1:11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9.95" customHeight="1" spans="1:11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9.95" customHeight="1" spans="1:11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9.95" customHeight="1" spans="1:11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9.95" customHeight="1" spans="1:11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9.95" customHeight="1" spans="1:11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9.95" customHeight="1" spans="1:11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9.95" customHeight="1" spans="1:11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9.95" customHeight="1" spans="1:11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9.95" customHeight="1" spans="1:11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9.95" customHeight="1" spans="1:11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9.95" customHeight="1" spans="1:11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9.95" customHeight="1" spans="1:11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9.95" customHeight="1" spans="1:11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9.95" customHeight="1" spans="1:11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9.95" customHeight="1" spans="1:11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9.95" customHeight="1" spans="1:11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9.95" customHeight="1" spans="1:11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9.95" customHeight="1" spans="1:11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9.95" customHeight="1" spans="1:11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9.95" customHeight="1" spans="1:11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9.95" customHeight="1" spans="1:11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9.95" customHeight="1" spans="1:11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9.95" customHeight="1" spans="1:11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9.95" customHeight="1" spans="1:11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9.95" customHeight="1" spans="1:11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9.95" customHeight="1" spans="1:11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9.95" customHeight="1" spans="1:11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9.95" customHeight="1" spans="1:11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9.95" customHeight="1" spans="1:11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9.95" customHeight="1" spans="1:11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9.95" customHeight="1" spans="1:11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9.95" customHeight="1" spans="1:11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9.95" customHeight="1" spans="1:11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9.95" customHeight="1" spans="1:11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9.95" customHeight="1" spans="1:11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9.95" customHeight="1" spans="1:11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9.95" customHeight="1" spans="1:11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9.95" customHeight="1" spans="1:11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9.95" customHeight="1" spans="1:11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9.95" customHeight="1" spans="1:11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9.95" customHeight="1" spans="1:11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9.95" customHeight="1" spans="1:11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9.95" customHeight="1" spans="1:11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9.95" customHeight="1" spans="1:11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9.95" customHeight="1" spans="1:11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9.95" customHeight="1" spans="1:11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9.95" customHeight="1" spans="1:11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9.95" customHeight="1" spans="1:11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9.95" customHeight="1" spans="1:11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9.95" customHeight="1" spans="1:11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9.95" customHeight="1" spans="1:11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9.95" customHeight="1" spans="1:11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9.95" customHeight="1" spans="1:11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9.95" customHeight="1" spans="1:11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9.95" customHeight="1" spans="1:11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9.95" customHeight="1" spans="1:11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9.95" customHeight="1" spans="1:11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9.95" customHeight="1" spans="1:11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9.95" customHeight="1" spans="1:11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9.95" customHeight="1" spans="1:11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9.95" customHeight="1" spans="1:11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9.95" customHeight="1" spans="1:11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9.95" customHeight="1" spans="1:11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9.95" customHeight="1" spans="1:11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9.95" customHeight="1" spans="1:11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9.95" customHeight="1" spans="1:11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9.95" customHeight="1" spans="1:11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9.95" customHeight="1" spans="1:11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9.95" customHeight="1" spans="1:11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9.95" customHeight="1" spans="1:11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9.95" customHeight="1" spans="1:11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9.95" customHeight="1" spans="1:11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9.95" customHeight="1" spans="1:11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9.95" customHeight="1" spans="1:11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9.95" customHeight="1" spans="1:11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9.95" customHeight="1" spans="1:11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9.95" customHeight="1" spans="1:11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9.95" customHeight="1" spans="1:11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9.95" customHeight="1" spans="1:11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9.95" customHeight="1" spans="1:11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9.95" customHeight="1" spans="1:11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9.95" customHeight="1" spans="1:11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9.95" customHeight="1" spans="1:11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9.95" customHeight="1" spans="1:11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9.95" customHeight="1" spans="1:11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9.95" customHeight="1" spans="1:11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9.95" customHeight="1" spans="1:11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9.95" customHeight="1" spans="1:11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9.95" customHeight="1" spans="1:11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9.95" customHeight="1" spans="1:11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9.95" customHeight="1" spans="1:11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9.95" customHeight="1" spans="1:11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9.95" customHeight="1" spans="1:11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9.95" customHeight="1" spans="1:11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9.95" customHeight="1" spans="1:11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9.95" customHeight="1" spans="1:11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9.95" customHeight="1" spans="1:11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9.95" customHeight="1" spans="1:11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9.95" customHeight="1" spans="1:11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9.95" customHeight="1" spans="1:11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9.95" customHeight="1" spans="1:11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9.95" customHeight="1" spans="1:11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9.95" customHeight="1" spans="1:11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9.95" customHeight="1" spans="1:11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9.95" customHeight="1" spans="1:11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9.95" customHeight="1" spans="1:11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9.95" customHeight="1" spans="1:11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9.95" customHeight="1" spans="1:11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9.95" customHeight="1" spans="1:11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9.95" customHeight="1" spans="1:11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9.95" customHeight="1" spans="1:11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9.95" customHeight="1" spans="1:11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9.95" customHeight="1" spans="1:11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9.95" customHeight="1" spans="1:11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9.95" customHeight="1" spans="1:11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9.95" customHeight="1" spans="1:11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9.95" customHeight="1" spans="1:11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9.95" customHeight="1" spans="1:11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9.95" customHeight="1" spans="1:11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9.95" customHeight="1" spans="1:11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9.95" customHeight="1" spans="1:11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9.95" customHeight="1" spans="1:11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9.95" customHeight="1" spans="1:11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9.95" customHeight="1" spans="1:11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9.95" customHeight="1" spans="1:11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9.95" customHeight="1" spans="1:11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9.95" customHeight="1" spans="1:11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9.95" customHeight="1" spans="1:11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9.95" customHeight="1" spans="1:11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9.95" customHeight="1" spans="1:11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9.95" customHeight="1" spans="1:11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9.95" customHeight="1" spans="1:11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9.95" customHeight="1" spans="1:11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9.95" customHeight="1" spans="1:11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9.95" customHeight="1" spans="1:11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9.95" customHeight="1" spans="1:11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9.95" customHeight="1" spans="1:11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9.95" customHeight="1" spans="1:11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9.95" customHeight="1" spans="1:11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9.95" customHeight="1" spans="1:11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9.95" customHeight="1" spans="1:11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9.95" customHeight="1" spans="1:11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9.95" customHeight="1" spans="1:11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9.95" customHeight="1" spans="1:11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9.95" customHeight="1" spans="1:11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9.95" customHeight="1" spans="1:11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9.95" customHeight="1" spans="1:11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9.95" customHeight="1" spans="1:11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9.95" customHeight="1" spans="1:11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9.95" customHeight="1" spans="1:11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9.95" customHeight="1" spans="1:11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9.95" customHeight="1" spans="1:11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9.95" customHeight="1" spans="1:11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9.95" customHeight="1" spans="1:11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9.95" customHeight="1" spans="1:11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9.95" customHeight="1" spans="1:11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9.95" customHeight="1" spans="1:11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9.95" customHeight="1" spans="1:11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9.95" customHeight="1" spans="1:11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9.95" customHeight="1" spans="1:11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9.95" customHeight="1" spans="1:11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9.95" customHeight="1" spans="1:11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9.95" customHeight="1" spans="1:11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9.95" customHeight="1" spans="1:11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9.95" customHeight="1" spans="1:11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9.95" customHeight="1" spans="1:11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9.95" customHeight="1" spans="1:11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9.95" customHeight="1" spans="1:11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9.95" customHeight="1" spans="1:11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9.95" customHeight="1" spans="1:11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9.95" customHeight="1" spans="1:11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9.95" customHeight="1" spans="1:11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9.95" customHeight="1" spans="1:11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9.95" customHeight="1" spans="1:11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9.95" customHeight="1" spans="1:11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9.95" customHeight="1" spans="1:11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9.95" customHeight="1" spans="1:11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9.95" customHeight="1" spans="1:11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9.95" customHeight="1" spans="1:11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9.95" customHeight="1" spans="1:11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9.95" customHeight="1" spans="1:11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9.95" customHeight="1" spans="1:11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9.95" customHeight="1" spans="1:11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9.95" customHeight="1" spans="1:11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9.95" customHeight="1" spans="1:11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9.95" customHeight="1" spans="1:11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spans="10:11" x14ac:dyDescent="0.25">
      <c r="J514" s="8"/>
      <c r="K514" s="8"/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 zoomScale="100" zoomScaleNormal="100"/>
  </sheetViews>
  <sheetFormatPr defaultRowHeight="14.4" outlineLevelRow="0" outlineLevelCol="0" x14ac:dyDescent="0.3" defaultColWidth="8.88671875" customHeight="1"/>
  <cols>
    <col min="1" max="1" width="100" customWidth="1"/>
  </cols>
  <sheetData>
    <row r="1" ht="18" customHeight="1" spans="1:1" x14ac:dyDescent="0.25">
      <c r="A1" s="10" t="s">
        <v>89</v>
      </c>
    </row>
    <row r="2" spans="1:1" x14ac:dyDescent="0.25">
      <c r="A2" s="11" t="s">
        <v>90</v>
      </c>
    </row>
    <row r="3" spans="1:1" x14ac:dyDescent="0.25">
      <c r="A3" s="12" t="s">
        <v>91</v>
      </c>
    </row>
    <row r="4" spans="1:1" x14ac:dyDescent="0.25">
      <c r="A4" s="13" t="s">
        <v>92</v>
      </c>
    </row>
    <row r="5" spans="1:1" x14ac:dyDescent="0.25">
      <c r="A5" s="12" t="s">
        <v>93</v>
      </c>
    </row>
    <row r="6" spans="1:1" x14ac:dyDescent="0.25">
      <c r="A6" s="14" t="s">
        <v>94</v>
      </c>
    </row>
    <row r="7" spans="1:1" x14ac:dyDescent="0.25">
      <c r="A7" s="13" t="s">
        <v>95</v>
      </c>
    </row>
    <row r="8" spans="1:1" x14ac:dyDescent="0.25">
      <c r="A8" s="12" t="s">
        <v>96</v>
      </c>
    </row>
    <row r="9" spans="1:1" x14ac:dyDescent="0.25">
      <c r="A9" s="15" t="s">
        <v>97</v>
      </c>
    </row>
    <row r="10" spans="1:1" x14ac:dyDescent="0.25">
      <c r="A10" s="15" t="s">
        <v>98</v>
      </c>
    </row>
    <row r="12" ht="40" customHeight="1" spans="1:1" x14ac:dyDescent="0.25">
      <c r="A12" s="16" t="s">
        <v>99</v>
      </c>
    </row>
    <row r="13" ht="40" customHeight="1" spans="1:1" x14ac:dyDescent="0.25">
      <c r="A13" s="16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 zoomScale="100" zoomScaleNormal="100"/>
  </sheetViews>
  <sheetFormatPr defaultRowHeight="14.4" outlineLevelRow="0" outlineLevelCol="0" x14ac:dyDescent="0.3" defaultColWidth="8.88671875" customHeight="1"/>
  <sheetData>
    <row r="1" spans="1:4" x14ac:dyDescent="0.25">
      <c r="A1" t="s">
        <v>101</v>
      </c>
      <c r="B1">
        <v>1</v>
      </c>
      <c r="C1">
        <v>24</v>
      </c>
      <c r="D1">
        <v>12</v>
      </c>
    </row>
    <row r="2" spans="1:4" x14ac:dyDescent="0.25">
      <c r="A2" t="s">
        <v>102</v>
      </c>
      <c r="B2">
        <v>1</v>
      </c>
      <c r="C2">
        <v>24</v>
      </c>
      <c r="D2">
        <v>12</v>
      </c>
    </row>
    <row r="3" spans="1:4" x14ac:dyDescent="0.25">
      <c r="A3" t="s">
        <v>103</v>
      </c>
      <c r="B3">
        <v>1</v>
      </c>
      <c r="C3">
        <v>365</v>
      </c>
      <c r="D3">
        <v>1</v>
      </c>
    </row>
    <row r="4" spans="1:4" x14ac:dyDescent="0.25">
      <c r="A4" t="s">
        <v>104</v>
      </c>
      <c r="B4">
        <v>1</v>
      </c>
      <c r="C4">
        <v>365</v>
      </c>
      <c r="D4">
        <v>1</v>
      </c>
    </row>
    <row r="5" spans="1:4" x14ac:dyDescent="0.25">
      <c r="A5" t="s">
        <v>105</v>
      </c>
      <c r="B5">
        <v>1</v>
      </c>
      <c r="C5">
        <v>52</v>
      </c>
      <c r="D5">
        <v>2</v>
      </c>
    </row>
    <row r="6" spans="1:4" x14ac:dyDescent="0.25">
      <c r="A6" t="s">
        <v>106</v>
      </c>
      <c r="B6">
        <v>1</v>
      </c>
      <c r="C6">
        <v>52</v>
      </c>
      <c r="D6">
        <v>2</v>
      </c>
    </row>
    <row r="7" spans="1:4" x14ac:dyDescent="0.25">
      <c r="A7" t="s">
        <v>50</v>
      </c>
      <c r="B7">
        <v>1</v>
      </c>
      <c r="C7">
        <v>12</v>
      </c>
      <c r="D7">
        <v>3</v>
      </c>
    </row>
    <row r="8" spans="1:4" x14ac:dyDescent="0.25">
      <c r="A8" t="s">
        <v>107</v>
      </c>
      <c r="B8">
        <v>1</v>
      </c>
      <c r="C8">
        <v>12</v>
      </c>
      <c r="D8">
        <v>3</v>
      </c>
    </row>
    <row r="9" spans="1:4" x14ac:dyDescent="0.25">
      <c r="A9" t="s">
        <v>108</v>
      </c>
      <c r="B9">
        <v>2</v>
      </c>
      <c r="C9">
        <v>12</v>
      </c>
      <c r="D9">
        <v>4</v>
      </c>
    </row>
    <row r="10" spans="1:4" x14ac:dyDescent="0.25">
      <c r="A10" t="s">
        <v>109</v>
      </c>
      <c r="B10">
        <v>2</v>
      </c>
      <c r="C10">
        <v>12</v>
      </c>
      <c r="D10">
        <v>4</v>
      </c>
    </row>
    <row r="11" spans="1:4" x14ac:dyDescent="0.25">
      <c r="A11" t="s">
        <v>110</v>
      </c>
      <c r="B11">
        <v>1</v>
      </c>
      <c r="C11">
        <v>4</v>
      </c>
      <c r="D11">
        <v>5</v>
      </c>
    </row>
    <row r="12" spans="1:4" x14ac:dyDescent="0.25">
      <c r="A12" t="s">
        <v>111</v>
      </c>
      <c r="B12">
        <v>1</v>
      </c>
      <c r="C12">
        <v>4</v>
      </c>
      <c r="D12">
        <v>5</v>
      </c>
    </row>
    <row r="13" spans="1:4" x14ac:dyDescent="0.25">
      <c r="A13" t="s">
        <v>112</v>
      </c>
      <c r="B13">
        <v>1</v>
      </c>
      <c r="C13">
        <v>3</v>
      </c>
      <c r="D13">
        <v>6</v>
      </c>
    </row>
    <row r="14" spans="1:4" x14ac:dyDescent="0.25">
      <c r="A14" t="s">
        <v>113</v>
      </c>
      <c r="B14">
        <v>1</v>
      </c>
      <c r="C14">
        <v>3</v>
      </c>
      <c r="D14">
        <v>6</v>
      </c>
    </row>
    <row r="15" spans="1:4" x14ac:dyDescent="0.25">
      <c r="A15" t="s">
        <v>114</v>
      </c>
      <c r="B15">
        <v>1</v>
      </c>
      <c r="C15">
        <v>2</v>
      </c>
      <c r="D15">
        <v>7</v>
      </c>
    </row>
    <row r="16" spans="1:4" x14ac:dyDescent="0.25">
      <c r="A16" t="s">
        <v>115</v>
      </c>
      <c r="B16">
        <v>1</v>
      </c>
      <c r="C16">
        <v>2</v>
      </c>
      <c r="D16">
        <v>7</v>
      </c>
    </row>
    <row r="17" spans="1:4" x14ac:dyDescent="0.25">
      <c r="A17" t="s">
        <v>116</v>
      </c>
      <c r="B17">
        <v>1</v>
      </c>
      <c r="C17">
        <v>1</v>
      </c>
      <c r="D17">
        <v>8</v>
      </c>
    </row>
    <row r="18" spans="1:4" x14ac:dyDescent="0.25">
      <c r="A18" t="s">
        <v>117</v>
      </c>
      <c r="B18">
        <v>1</v>
      </c>
      <c r="C18">
        <v>1</v>
      </c>
      <c r="D18">
        <v>8</v>
      </c>
    </row>
    <row r="19" spans="1:4" x14ac:dyDescent="0.25">
      <c r="A19" t="s">
        <v>118</v>
      </c>
      <c r="B19">
        <v>1</v>
      </c>
      <c r="C19">
        <v>1</v>
      </c>
      <c r="D19">
        <v>9</v>
      </c>
    </row>
    <row r="20" spans="1:4" x14ac:dyDescent="0.25">
      <c r="A20" t="s">
        <v>119</v>
      </c>
      <c r="B20">
        <v>1</v>
      </c>
      <c r="C20">
        <v>1</v>
      </c>
      <c r="D20">
        <v>9</v>
      </c>
    </row>
    <row r="21" spans="1:4" x14ac:dyDescent="0.25">
      <c r="A21" t="s">
        <v>120</v>
      </c>
      <c r="B21">
        <v>1</v>
      </c>
      <c r="C21">
        <v>1</v>
      </c>
      <c r="D21">
        <v>10</v>
      </c>
    </row>
    <row r="22" spans="1:4" x14ac:dyDescent="0.25">
      <c r="A22" t="s">
        <v>121</v>
      </c>
      <c r="B22">
        <v>1</v>
      </c>
      <c r="C22">
        <v>1</v>
      </c>
      <c r="D22">
        <v>10</v>
      </c>
    </row>
    <row r="23" spans="1:4" x14ac:dyDescent="0.25">
      <c r="A23" t="s">
        <v>122</v>
      </c>
      <c r="B23">
        <v>1</v>
      </c>
      <c r="C23">
        <v>6</v>
      </c>
      <c r="D23">
        <v>11</v>
      </c>
    </row>
    <row r="24" spans="1:4" x14ac:dyDescent="0.25">
      <c r="A24" t="s">
        <v>123</v>
      </c>
      <c r="B24">
        <v>1</v>
      </c>
      <c r="C24">
        <v>6</v>
      </c>
      <c r="D24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40" customWidth="1"/>
  </cols>
  <sheetData>
    <row r="1" spans="1:1" x14ac:dyDescent="0.25">
      <c r="A1" s="17" t="s">
        <v>124</v>
      </c>
    </row>
    <row r="2" ht="30" customHeight="1" spans="1:1" x14ac:dyDescent="0.25">
      <c r="A2" s="18" t="s">
        <v>125</v>
      </c>
    </row>
    <row r="3" ht="28" customHeight="1" spans="1:1" x14ac:dyDescent="0.25">
      <c r="A3" s="19" t="s">
        <v>126</v>
      </c>
    </row>
    <row r="4" ht="20" customHeight="1" spans="1:1" x14ac:dyDescent="0.25">
      <c r="A4" s="20" t="s">
        <v>41</v>
      </c>
    </row>
    <row r="5" ht="20" customHeight="1" spans="1:1" x14ac:dyDescent="0.25">
      <c r="A5" s="20" t="s">
        <v>127</v>
      </c>
    </row>
    <row r="6" ht="20" customHeight="1" spans="1:1" x14ac:dyDescent="0.25">
      <c r="A6" s="20" t="s">
        <v>128</v>
      </c>
    </row>
    <row r="7" ht="20" customHeight="1" spans="1:1" x14ac:dyDescent="0.25">
      <c r="A7" s="20" t="s">
        <v>129</v>
      </c>
    </row>
    <row r="8" ht="20" customHeight="1" spans="1:1" x14ac:dyDescent="0.25">
      <c r="A8" s="20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40" customWidth="1"/>
  </cols>
  <sheetData>
    <row r="1" spans="1:1" x14ac:dyDescent="0.25">
      <c r="A1" s="17" t="s">
        <v>131</v>
      </c>
    </row>
    <row r="2" ht="30" customHeight="1" spans="1:1" x14ac:dyDescent="0.25">
      <c r="A2" s="18" t="s">
        <v>125</v>
      </c>
    </row>
    <row r="3" ht="28" customHeight="1" spans="1:1" x14ac:dyDescent="0.25">
      <c r="A3" s="19" t="s">
        <v>132</v>
      </c>
    </row>
    <row r="4" ht="20" customHeight="1" spans="1:1" x14ac:dyDescent="0.25">
      <c r="A4" s="20" t="s">
        <v>47</v>
      </c>
    </row>
    <row r="5" ht="20" customHeight="1" spans="1:1" x14ac:dyDescent="0.25">
      <c r="A5" s="20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45" customWidth="1"/>
    <col min="2" max="2" width="35" customWidth="1"/>
    <col min="3" max="3" width="25" customWidth="1"/>
    <col min="4" max="4" width="20" customWidth="1"/>
  </cols>
  <sheetData>
    <row r="1" spans="1:4" x14ac:dyDescent="0.25">
      <c r="A1" s="17" t="s">
        <v>134</v>
      </c>
      <c r="B1" s="17"/>
      <c r="C1" s="17"/>
      <c r="D1" s="17"/>
    </row>
    <row r="2" ht="30" customHeight="1" spans="1:4" x14ac:dyDescent="0.25">
      <c r="A2" s="18" t="s">
        <v>125</v>
      </c>
      <c r="B2" s="18"/>
      <c r="C2" s="18"/>
      <c r="D2" s="18"/>
    </row>
    <row r="3" ht="28" customHeight="1" spans="1:4" x14ac:dyDescent="0.25">
      <c r="A3" s="19" t="s">
        <v>135</v>
      </c>
      <c r="B3" s="19" t="s">
        <v>136</v>
      </c>
      <c r="C3" s="19" t="s">
        <v>137</v>
      </c>
      <c r="D3" s="19" t="s">
        <v>138</v>
      </c>
    </row>
    <row r="4" ht="20" customHeight="1" spans="1:4" x14ac:dyDescent="0.25">
      <c r="A4" s="20" t="s">
        <v>43</v>
      </c>
      <c r="B4" s="20" t="s">
        <v>41</v>
      </c>
      <c r="C4" s="20" t="s">
        <v>139</v>
      </c>
      <c r="D4" s="20" t="s">
        <v>140</v>
      </c>
    </row>
    <row r="5" ht="20" customHeight="1" spans="1:4" x14ac:dyDescent="0.25">
      <c r="A5" s="20" t="s">
        <v>141</v>
      </c>
      <c r="B5" s="20" t="s">
        <v>41</v>
      </c>
      <c r="C5" s="20" t="s">
        <v>42</v>
      </c>
      <c r="D5" s="20" t="s">
        <v>140</v>
      </c>
    </row>
    <row r="6" ht="20" customHeight="1" spans="1:4" x14ac:dyDescent="0.25">
      <c r="A6" s="20" t="s">
        <v>142</v>
      </c>
      <c r="B6" s="20" t="s">
        <v>127</v>
      </c>
      <c r="C6" s="20" t="s">
        <v>143</v>
      </c>
      <c r="D6" s="20" t="s">
        <v>140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FICHAS</vt:lpstr>
      <vt:lpstr>ANALISIS</vt:lpstr>
      <vt:lpstr>INSTRUCCIONES</vt:lpstr>
      <vt:lpstr>_MAPPINGS</vt:lpstr>
      <vt:lpstr>MAESTRO_EMP_FACTURAR</vt:lpstr>
      <vt:lpstr>MAESTRO_EMP_SERVICIO</vt:lpstr>
      <vt:lpstr>MAESTRO_CENTROS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2026-04-29T18:33:54Z</dcterms:created>
  <dcterms:modified xsi:type="dcterms:W3CDTF">2026-04-29T22:28:50Z</dcterms:modified>
</cp:coreProperties>
</file>