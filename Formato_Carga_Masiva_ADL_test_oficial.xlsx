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8800" windowHeight="12432"/>
  </bookViews>
  <sheets>
    <sheet name="FICHAS" sheetId="1" r:id="rId1"/>
    <sheet name="ANALISIS" sheetId="2" r:id="rId2"/>
    <sheet name="INSTRUCCIONES" sheetId="3" r:id="rId3"/>
    <sheet name="_MAPPINGS" sheetId="4" state="hidden" r:id="rId4"/>
  </sheets>
  <calcPr calcId="162913"/>
</workbook>
</file>

<file path=xl/calcChain.xml><?xml version="1.0" encoding="utf-8"?>
<calcChain xmlns="http://schemas.openxmlformats.org/spreadsheetml/2006/main">
  <c r="K513" i="2" l="1"/>
  <c r="I513" i="2"/>
  <c r="K512" i="2"/>
  <c r="I512" i="2"/>
  <c r="K511" i="2"/>
  <c r="I511" i="2"/>
  <c r="K510" i="2"/>
  <c r="I510" i="2"/>
  <c r="K509" i="2"/>
  <c r="I509" i="2"/>
  <c r="K508" i="2"/>
  <c r="I508" i="2"/>
  <c r="K507" i="2"/>
  <c r="I507" i="2"/>
  <c r="K506" i="2"/>
  <c r="I506" i="2"/>
  <c r="K505" i="2"/>
  <c r="I505" i="2"/>
  <c r="K504" i="2"/>
  <c r="I504" i="2"/>
  <c r="K503" i="2"/>
  <c r="I503" i="2"/>
  <c r="K502" i="2"/>
  <c r="I502" i="2"/>
  <c r="K501" i="2"/>
  <c r="I501" i="2"/>
  <c r="K500" i="2"/>
  <c r="I500" i="2"/>
  <c r="K499" i="2"/>
  <c r="I499" i="2"/>
  <c r="K498" i="2"/>
  <c r="I498" i="2"/>
  <c r="K497" i="2"/>
  <c r="I497" i="2"/>
  <c r="K496" i="2"/>
  <c r="I496" i="2"/>
  <c r="K495" i="2"/>
  <c r="I495" i="2"/>
  <c r="K494" i="2"/>
  <c r="I494" i="2"/>
  <c r="K493" i="2"/>
  <c r="I493" i="2"/>
  <c r="K492" i="2"/>
  <c r="I492" i="2"/>
  <c r="K491" i="2"/>
  <c r="I491" i="2"/>
  <c r="K490" i="2"/>
  <c r="I490" i="2"/>
  <c r="K489" i="2"/>
  <c r="I489" i="2"/>
  <c r="K488" i="2"/>
  <c r="I488" i="2"/>
  <c r="K487" i="2"/>
  <c r="I487" i="2"/>
  <c r="K486" i="2"/>
  <c r="I486" i="2"/>
  <c r="K485" i="2"/>
  <c r="I485" i="2"/>
  <c r="K484" i="2"/>
  <c r="I484" i="2"/>
  <c r="K483" i="2"/>
  <c r="I483" i="2"/>
  <c r="K482" i="2"/>
  <c r="I482" i="2"/>
  <c r="K481" i="2"/>
  <c r="I481" i="2"/>
  <c r="K480" i="2"/>
  <c r="I480" i="2"/>
  <c r="K479" i="2"/>
  <c r="I479" i="2"/>
  <c r="K478" i="2"/>
  <c r="I478" i="2"/>
  <c r="K477" i="2"/>
  <c r="I477" i="2"/>
  <c r="K476" i="2"/>
  <c r="I476" i="2"/>
  <c r="K475" i="2"/>
  <c r="I475" i="2"/>
  <c r="K474" i="2"/>
  <c r="I474" i="2"/>
  <c r="K473" i="2"/>
  <c r="I473" i="2"/>
  <c r="K472" i="2"/>
  <c r="I472" i="2"/>
  <c r="K471" i="2"/>
  <c r="I471" i="2"/>
  <c r="K470" i="2"/>
  <c r="I470" i="2"/>
  <c r="K469" i="2"/>
  <c r="I469" i="2"/>
  <c r="K468" i="2"/>
  <c r="I468" i="2"/>
  <c r="K467" i="2"/>
  <c r="I467" i="2"/>
  <c r="K466" i="2"/>
  <c r="I466" i="2"/>
  <c r="K465" i="2"/>
  <c r="I465" i="2"/>
  <c r="K464" i="2"/>
  <c r="I464" i="2"/>
  <c r="K463" i="2"/>
  <c r="I463" i="2"/>
  <c r="K462" i="2"/>
  <c r="I462" i="2"/>
  <c r="K461" i="2"/>
  <c r="I461" i="2"/>
  <c r="K460" i="2"/>
  <c r="I460" i="2"/>
  <c r="K459" i="2"/>
  <c r="I459" i="2"/>
  <c r="K458" i="2"/>
  <c r="I458" i="2"/>
  <c r="K457" i="2"/>
  <c r="I457" i="2"/>
  <c r="K456" i="2"/>
  <c r="I456" i="2"/>
  <c r="K455" i="2"/>
  <c r="I455" i="2"/>
  <c r="K454" i="2"/>
  <c r="I454" i="2"/>
  <c r="K453" i="2"/>
  <c r="I453" i="2"/>
  <c r="K452" i="2"/>
  <c r="I452" i="2"/>
  <c r="K451" i="2"/>
  <c r="I451" i="2"/>
  <c r="K450" i="2"/>
  <c r="I450" i="2"/>
  <c r="K449" i="2"/>
  <c r="I449" i="2"/>
  <c r="K448" i="2"/>
  <c r="I448" i="2"/>
  <c r="K447" i="2"/>
  <c r="I447" i="2"/>
  <c r="K446" i="2"/>
  <c r="I446" i="2"/>
  <c r="K445" i="2"/>
  <c r="I445" i="2"/>
  <c r="K444" i="2"/>
  <c r="I444" i="2"/>
  <c r="K443" i="2"/>
  <c r="I443" i="2"/>
  <c r="K442" i="2"/>
  <c r="I442" i="2"/>
  <c r="K441" i="2"/>
  <c r="I441" i="2"/>
  <c r="K440" i="2"/>
  <c r="I440" i="2"/>
  <c r="K439" i="2"/>
  <c r="I439" i="2"/>
  <c r="K438" i="2"/>
  <c r="I438" i="2"/>
  <c r="K437" i="2"/>
  <c r="I437" i="2"/>
  <c r="K436" i="2"/>
  <c r="I436" i="2"/>
  <c r="K435" i="2"/>
  <c r="I435" i="2"/>
  <c r="K434" i="2"/>
  <c r="I434" i="2"/>
  <c r="K433" i="2"/>
  <c r="I433" i="2"/>
  <c r="K432" i="2"/>
  <c r="I432" i="2"/>
  <c r="K431" i="2"/>
  <c r="I431" i="2"/>
  <c r="K430" i="2"/>
  <c r="I430" i="2"/>
  <c r="K429" i="2"/>
  <c r="I429" i="2"/>
  <c r="K428" i="2"/>
  <c r="I428" i="2"/>
  <c r="K427" i="2"/>
  <c r="I427" i="2"/>
  <c r="K426" i="2"/>
  <c r="I426" i="2"/>
  <c r="K425" i="2"/>
  <c r="I425" i="2"/>
  <c r="K424" i="2"/>
  <c r="I424" i="2"/>
  <c r="K423" i="2"/>
  <c r="I423" i="2"/>
  <c r="K422" i="2"/>
  <c r="I422" i="2"/>
  <c r="K421" i="2"/>
  <c r="I421" i="2"/>
  <c r="K420" i="2"/>
  <c r="I420" i="2"/>
  <c r="K419" i="2"/>
  <c r="I419" i="2"/>
  <c r="K418" i="2"/>
  <c r="I418" i="2"/>
  <c r="K417" i="2"/>
  <c r="I417" i="2"/>
  <c r="K416" i="2"/>
  <c r="I416" i="2"/>
  <c r="K415" i="2"/>
  <c r="I415" i="2"/>
  <c r="K414" i="2"/>
  <c r="I414" i="2"/>
  <c r="K413" i="2"/>
  <c r="I413" i="2"/>
  <c r="K412" i="2"/>
  <c r="I412" i="2"/>
  <c r="K411" i="2"/>
  <c r="I411" i="2"/>
  <c r="K410" i="2"/>
  <c r="I410" i="2"/>
  <c r="K409" i="2"/>
  <c r="I409" i="2"/>
  <c r="K408" i="2"/>
  <c r="I408" i="2"/>
  <c r="K407" i="2"/>
  <c r="I407" i="2"/>
  <c r="K406" i="2"/>
  <c r="I406" i="2"/>
  <c r="K405" i="2"/>
  <c r="I405" i="2"/>
  <c r="K404" i="2"/>
  <c r="I404" i="2"/>
  <c r="K403" i="2"/>
  <c r="I403" i="2"/>
  <c r="K402" i="2"/>
  <c r="I402" i="2"/>
  <c r="K401" i="2"/>
  <c r="I401" i="2"/>
  <c r="K400" i="2"/>
  <c r="I400" i="2"/>
  <c r="K399" i="2"/>
  <c r="I399" i="2"/>
  <c r="K398" i="2"/>
  <c r="I398" i="2"/>
  <c r="K397" i="2"/>
  <c r="I397" i="2"/>
  <c r="K396" i="2"/>
  <c r="I396" i="2"/>
  <c r="K395" i="2"/>
  <c r="I395" i="2"/>
  <c r="K394" i="2"/>
  <c r="I394" i="2"/>
  <c r="K393" i="2"/>
  <c r="I393" i="2"/>
  <c r="K392" i="2"/>
  <c r="I392" i="2"/>
  <c r="K391" i="2"/>
  <c r="I391" i="2"/>
  <c r="K390" i="2"/>
  <c r="I390" i="2"/>
  <c r="K389" i="2"/>
  <c r="I389" i="2"/>
  <c r="K388" i="2"/>
  <c r="I388" i="2"/>
  <c r="K387" i="2"/>
  <c r="I387" i="2"/>
  <c r="K386" i="2"/>
  <c r="I386" i="2"/>
  <c r="K385" i="2"/>
  <c r="I385" i="2"/>
  <c r="K384" i="2"/>
  <c r="I384" i="2"/>
  <c r="K383" i="2"/>
  <c r="I383" i="2"/>
  <c r="K382" i="2"/>
  <c r="I382" i="2"/>
  <c r="K381" i="2"/>
  <c r="I381" i="2"/>
  <c r="K380" i="2"/>
  <c r="I380" i="2"/>
  <c r="K379" i="2"/>
  <c r="I379" i="2"/>
  <c r="K378" i="2"/>
  <c r="I378" i="2"/>
  <c r="K377" i="2"/>
  <c r="I377" i="2"/>
  <c r="K376" i="2"/>
  <c r="I376" i="2"/>
  <c r="K375" i="2"/>
  <c r="I375" i="2"/>
  <c r="K374" i="2"/>
  <c r="I374" i="2"/>
  <c r="K373" i="2"/>
  <c r="I373" i="2"/>
  <c r="K372" i="2"/>
  <c r="I372" i="2"/>
  <c r="K371" i="2"/>
  <c r="I371" i="2"/>
  <c r="K370" i="2"/>
  <c r="I370" i="2"/>
  <c r="K369" i="2"/>
  <c r="I369" i="2"/>
  <c r="K368" i="2"/>
  <c r="I368" i="2"/>
  <c r="K367" i="2"/>
  <c r="I367" i="2"/>
  <c r="K366" i="2"/>
  <c r="I366" i="2"/>
  <c r="K365" i="2"/>
  <c r="I365" i="2"/>
  <c r="K364" i="2"/>
  <c r="I364" i="2"/>
  <c r="K363" i="2"/>
  <c r="I363" i="2"/>
  <c r="K362" i="2"/>
  <c r="I362" i="2"/>
  <c r="K361" i="2"/>
  <c r="I361" i="2"/>
  <c r="K360" i="2"/>
  <c r="I360" i="2"/>
  <c r="K359" i="2"/>
  <c r="I359" i="2"/>
  <c r="K358" i="2"/>
  <c r="I358" i="2"/>
  <c r="K357" i="2"/>
  <c r="I357" i="2"/>
  <c r="K356" i="2"/>
  <c r="I356" i="2"/>
  <c r="K355" i="2"/>
  <c r="I355" i="2"/>
  <c r="K354" i="2"/>
  <c r="I354" i="2"/>
  <c r="K353" i="2"/>
  <c r="I353" i="2"/>
  <c r="K352" i="2"/>
  <c r="I352" i="2"/>
  <c r="K351" i="2"/>
  <c r="I351" i="2"/>
  <c r="K350" i="2"/>
  <c r="I350" i="2"/>
  <c r="K349" i="2"/>
  <c r="I349" i="2"/>
  <c r="K348" i="2"/>
  <c r="I348" i="2"/>
  <c r="K347" i="2"/>
  <c r="I347" i="2"/>
  <c r="K346" i="2"/>
  <c r="I346" i="2"/>
  <c r="K345" i="2"/>
  <c r="I345" i="2"/>
  <c r="K344" i="2"/>
  <c r="I344" i="2"/>
  <c r="K343" i="2"/>
  <c r="I343" i="2"/>
  <c r="K342" i="2"/>
  <c r="I342" i="2"/>
  <c r="K341" i="2"/>
  <c r="I341" i="2"/>
  <c r="K340" i="2"/>
  <c r="I340" i="2"/>
  <c r="K339" i="2"/>
  <c r="I339" i="2"/>
  <c r="K338" i="2"/>
  <c r="I338" i="2"/>
  <c r="K337" i="2"/>
  <c r="I337" i="2"/>
  <c r="K336" i="2"/>
  <c r="I336" i="2"/>
  <c r="K335" i="2"/>
  <c r="I335" i="2"/>
  <c r="K334" i="2"/>
  <c r="I334" i="2"/>
  <c r="K333" i="2"/>
  <c r="I333" i="2"/>
  <c r="K332" i="2"/>
  <c r="I332" i="2"/>
  <c r="K331" i="2"/>
  <c r="I331" i="2"/>
  <c r="K330" i="2"/>
  <c r="I330" i="2"/>
  <c r="K329" i="2"/>
  <c r="I329" i="2"/>
  <c r="K328" i="2"/>
  <c r="I328" i="2"/>
  <c r="K327" i="2"/>
  <c r="I327" i="2"/>
  <c r="K326" i="2"/>
  <c r="I326" i="2"/>
  <c r="K325" i="2"/>
  <c r="I325" i="2"/>
  <c r="K324" i="2"/>
  <c r="I324" i="2"/>
  <c r="K323" i="2"/>
  <c r="I323" i="2"/>
  <c r="K322" i="2"/>
  <c r="I322" i="2"/>
  <c r="K321" i="2"/>
  <c r="I321" i="2"/>
  <c r="K320" i="2"/>
  <c r="I320" i="2"/>
  <c r="K319" i="2"/>
  <c r="I319" i="2"/>
  <c r="K318" i="2"/>
  <c r="I318" i="2"/>
  <c r="K317" i="2"/>
  <c r="I317" i="2"/>
  <c r="K316" i="2"/>
  <c r="I316" i="2"/>
  <c r="K315" i="2"/>
  <c r="I315" i="2"/>
  <c r="K314" i="2"/>
  <c r="I314" i="2"/>
  <c r="K313" i="2"/>
  <c r="I313" i="2"/>
  <c r="K312" i="2"/>
  <c r="I312" i="2"/>
  <c r="K311" i="2"/>
  <c r="I311" i="2"/>
  <c r="K310" i="2"/>
  <c r="I310" i="2"/>
  <c r="K309" i="2"/>
  <c r="I309" i="2"/>
  <c r="K308" i="2"/>
  <c r="I308" i="2"/>
  <c r="K307" i="2"/>
  <c r="I307" i="2"/>
  <c r="K306" i="2"/>
  <c r="I306" i="2"/>
  <c r="K305" i="2"/>
  <c r="I305" i="2"/>
  <c r="K304" i="2"/>
  <c r="I304" i="2"/>
  <c r="K303" i="2"/>
  <c r="I303" i="2"/>
  <c r="K302" i="2"/>
  <c r="I302" i="2"/>
  <c r="K301" i="2"/>
  <c r="I301" i="2"/>
  <c r="K300" i="2"/>
  <c r="I300" i="2"/>
  <c r="K299" i="2"/>
  <c r="I299" i="2"/>
  <c r="K298" i="2"/>
  <c r="I298" i="2"/>
  <c r="K297" i="2"/>
  <c r="I297" i="2"/>
  <c r="K296" i="2"/>
  <c r="I296" i="2"/>
  <c r="K295" i="2"/>
  <c r="I295" i="2"/>
  <c r="K294" i="2"/>
  <c r="I294" i="2"/>
  <c r="K293" i="2"/>
  <c r="I293" i="2"/>
  <c r="K292" i="2"/>
  <c r="I292" i="2"/>
  <c r="K291" i="2"/>
  <c r="I291" i="2"/>
  <c r="K290" i="2"/>
  <c r="I290" i="2"/>
  <c r="K289" i="2"/>
  <c r="I289" i="2"/>
  <c r="K288" i="2"/>
  <c r="I288" i="2"/>
  <c r="K287" i="2"/>
  <c r="I287" i="2"/>
  <c r="K286" i="2"/>
  <c r="I286" i="2"/>
  <c r="K285" i="2"/>
  <c r="I285" i="2"/>
  <c r="K284" i="2"/>
  <c r="I284" i="2"/>
  <c r="K283" i="2"/>
  <c r="I283" i="2"/>
  <c r="K282" i="2"/>
  <c r="I282" i="2"/>
  <c r="K281" i="2"/>
  <c r="I281" i="2"/>
  <c r="K280" i="2"/>
  <c r="I280" i="2"/>
  <c r="K279" i="2"/>
  <c r="I279" i="2"/>
  <c r="K278" i="2"/>
  <c r="I278" i="2"/>
  <c r="K277" i="2"/>
  <c r="I277" i="2"/>
  <c r="K276" i="2"/>
  <c r="I276" i="2"/>
  <c r="K275" i="2"/>
  <c r="I275" i="2"/>
  <c r="K274" i="2"/>
  <c r="I274" i="2"/>
  <c r="K273" i="2"/>
  <c r="I273" i="2"/>
  <c r="K272" i="2"/>
  <c r="I272" i="2"/>
  <c r="K271" i="2"/>
  <c r="I271" i="2"/>
  <c r="K270" i="2"/>
  <c r="I270" i="2"/>
  <c r="K269" i="2"/>
  <c r="I269" i="2"/>
  <c r="K268" i="2"/>
  <c r="I268" i="2"/>
  <c r="K267" i="2"/>
  <c r="I267" i="2"/>
  <c r="K266" i="2"/>
  <c r="I266" i="2"/>
  <c r="K265" i="2"/>
  <c r="I265" i="2"/>
  <c r="K264" i="2"/>
  <c r="I264" i="2"/>
  <c r="K263" i="2"/>
  <c r="I263" i="2"/>
  <c r="K262" i="2"/>
  <c r="I262" i="2"/>
  <c r="K261" i="2"/>
  <c r="I261" i="2"/>
  <c r="K260" i="2"/>
  <c r="I260" i="2"/>
  <c r="K259" i="2"/>
  <c r="I259" i="2"/>
  <c r="K258" i="2"/>
  <c r="I258" i="2"/>
  <c r="K257" i="2"/>
  <c r="I257" i="2"/>
  <c r="K256" i="2"/>
  <c r="I256" i="2"/>
  <c r="K255" i="2"/>
  <c r="I255" i="2"/>
  <c r="K254" i="2"/>
  <c r="I254" i="2"/>
  <c r="K253" i="2"/>
  <c r="I253" i="2"/>
  <c r="K252" i="2"/>
  <c r="I252" i="2"/>
  <c r="K251" i="2"/>
  <c r="I251" i="2"/>
  <c r="K250" i="2"/>
  <c r="I250" i="2"/>
  <c r="K249" i="2"/>
  <c r="I249" i="2"/>
  <c r="K248" i="2"/>
  <c r="I248" i="2"/>
  <c r="K247" i="2"/>
  <c r="I247" i="2"/>
  <c r="K246" i="2"/>
  <c r="I246" i="2"/>
  <c r="K245" i="2"/>
  <c r="I245" i="2"/>
  <c r="K244" i="2"/>
  <c r="I244" i="2"/>
  <c r="K243" i="2"/>
  <c r="I243" i="2"/>
  <c r="K242" i="2"/>
  <c r="I242" i="2"/>
  <c r="K241" i="2"/>
  <c r="I241" i="2"/>
  <c r="K240" i="2"/>
  <c r="I240" i="2"/>
  <c r="K239" i="2"/>
  <c r="I239" i="2"/>
  <c r="K238" i="2"/>
  <c r="I238" i="2"/>
  <c r="K237" i="2"/>
  <c r="I237" i="2"/>
  <c r="K236" i="2"/>
  <c r="I236" i="2"/>
  <c r="K235" i="2"/>
  <c r="I235" i="2"/>
  <c r="K234" i="2"/>
  <c r="I234" i="2"/>
  <c r="K233" i="2"/>
  <c r="I233" i="2"/>
  <c r="K232" i="2"/>
  <c r="I232" i="2"/>
  <c r="K231" i="2"/>
  <c r="I231" i="2"/>
  <c r="K230" i="2"/>
  <c r="I230" i="2"/>
  <c r="K229" i="2"/>
  <c r="I229" i="2"/>
  <c r="K228" i="2"/>
  <c r="I228" i="2"/>
  <c r="K227" i="2"/>
  <c r="I227" i="2"/>
  <c r="K226" i="2"/>
  <c r="I226" i="2"/>
  <c r="K225" i="2"/>
  <c r="I225" i="2"/>
  <c r="K224" i="2"/>
  <c r="I224" i="2"/>
  <c r="K223" i="2"/>
  <c r="I223" i="2"/>
  <c r="K222" i="2"/>
  <c r="I222" i="2"/>
  <c r="K221" i="2"/>
  <c r="I221" i="2"/>
  <c r="K220" i="2"/>
  <c r="I220" i="2"/>
  <c r="K219" i="2"/>
  <c r="I219" i="2"/>
  <c r="K218" i="2"/>
  <c r="I218" i="2"/>
  <c r="K217" i="2"/>
  <c r="I217" i="2"/>
  <c r="K216" i="2"/>
  <c r="I216" i="2"/>
  <c r="K215" i="2"/>
  <c r="I215" i="2"/>
  <c r="K214" i="2"/>
  <c r="I214" i="2"/>
  <c r="K213" i="2"/>
  <c r="I213" i="2"/>
  <c r="K212" i="2"/>
  <c r="I212" i="2"/>
  <c r="K211" i="2"/>
  <c r="I211" i="2"/>
  <c r="K210" i="2"/>
  <c r="I210" i="2"/>
  <c r="K209" i="2"/>
  <c r="I209" i="2"/>
  <c r="K208" i="2"/>
  <c r="I208" i="2"/>
  <c r="K207" i="2"/>
  <c r="I207" i="2"/>
  <c r="K206" i="2"/>
  <c r="I206" i="2"/>
  <c r="K205" i="2"/>
  <c r="I205" i="2"/>
  <c r="K204" i="2"/>
  <c r="I204" i="2"/>
  <c r="K203" i="2"/>
  <c r="I203" i="2"/>
  <c r="K202" i="2"/>
  <c r="I202" i="2"/>
  <c r="K201" i="2"/>
  <c r="I201" i="2"/>
  <c r="K200" i="2"/>
  <c r="I200" i="2"/>
  <c r="K199" i="2"/>
  <c r="I199" i="2"/>
  <c r="K198" i="2"/>
  <c r="I198" i="2"/>
  <c r="K197" i="2"/>
  <c r="I197" i="2"/>
  <c r="K196" i="2"/>
  <c r="I196" i="2"/>
  <c r="K195" i="2"/>
  <c r="I195" i="2"/>
  <c r="K194" i="2"/>
  <c r="I194" i="2"/>
  <c r="K193" i="2"/>
  <c r="I193" i="2"/>
  <c r="K192" i="2"/>
  <c r="I192" i="2"/>
  <c r="K191" i="2"/>
  <c r="I191" i="2"/>
  <c r="K190" i="2"/>
  <c r="I190" i="2"/>
  <c r="K189" i="2"/>
  <c r="I189" i="2"/>
  <c r="K188" i="2"/>
  <c r="I188" i="2"/>
  <c r="K187" i="2"/>
  <c r="I187" i="2"/>
  <c r="K186" i="2"/>
  <c r="I186" i="2"/>
  <c r="K185" i="2"/>
  <c r="I185" i="2"/>
  <c r="K184" i="2"/>
  <c r="I184" i="2"/>
  <c r="K183" i="2"/>
  <c r="I183" i="2"/>
  <c r="K182" i="2"/>
  <c r="I182" i="2"/>
  <c r="K181" i="2"/>
  <c r="I181" i="2"/>
  <c r="K180" i="2"/>
  <c r="I180" i="2"/>
  <c r="K179" i="2"/>
  <c r="I179" i="2"/>
  <c r="K178" i="2"/>
  <c r="I178" i="2"/>
  <c r="K177" i="2"/>
  <c r="I177" i="2"/>
  <c r="K176" i="2"/>
  <c r="I176" i="2"/>
  <c r="K175" i="2"/>
  <c r="I175" i="2"/>
  <c r="K174" i="2"/>
  <c r="I174" i="2"/>
  <c r="K173" i="2"/>
  <c r="I173" i="2"/>
  <c r="K172" i="2"/>
  <c r="I172" i="2"/>
  <c r="K171" i="2"/>
  <c r="I171" i="2"/>
  <c r="K170" i="2"/>
  <c r="I170" i="2"/>
  <c r="K169" i="2"/>
  <c r="I169" i="2"/>
  <c r="K168" i="2"/>
  <c r="I168" i="2"/>
  <c r="K167" i="2"/>
  <c r="I167" i="2"/>
  <c r="K166" i="2"/>
  <c r="I166" i="2"/>
  <c r="K165" i="2"/>
  <c r="I165" i="2"/>
  <c r="K164" i="2"/>
  <c r="I164" i="2"/>
  <c r="K163" i="2"/>
  <c r="I163" i="2"/>
  <c r="K162" i="2"/>
  <c r="I162" i="2"/>
  <c r="K161" i="2"/>
  <c r="I161" i="2"/>
  <c r="K160" i="2"/>
  <c r="I160" i="2"/>
  <c r="K159" i="2"/>
  <c r="I159" i="2"/>
  <c r="K158" i="2"/>
  <c r="I158" i="2"/>
  <c r="K157" i="2"/>
  <c r="I157" i="2"/>
  <c r="K156" i="2"/>
  <c r="I156" i="2"/>
  <c r="K155" i="2"/>
  <c r="I155" i="2"/>
  <c r="K154" i="2"/>
  <c r="I154" i="2"/>
  <c r="K153" i="2"/>
  <c r="I153" i="2"/>
  <c r="K152" i="2"/>
  <c r="I152" i="2"/>
  <c r="K151" i="2"/>
  <c r="I151" i="2"/>
  <c r="K150" i="2"/>
  <c r="I150" i="2"/>
  <c r="K149" i="2"/>
  <c r="I149" i="2"/>
  <c r="K148" i="2"/>
  <c r="I148" i="2"/>
  <c r="K147" i="2"/>
  <c r="I147" i="2"/>
  <c r="K146" i="2"/>
  <c r="I146" i="2"/>
  <c r="K145" i="2"/>
  <c r="I145" i="2"/>
  <c r="K144" i="2"/>
  <c r="I144" i="2"/>
  <c r="K143" i="2"/>
  <c r="I143" i="2"/>
  <c r="K142" i="2"/>
  <c r="I142" i="2"/>
  <c r="K141" i="2"/>
  <c r="I141" i="2"/>
  <c r="K140" i="2"/>
  <c r="I140" i="2"/>
  <c r="K139" i="2"/>
  <c r="I139" i="2"/>
  <c r="K138" i="2"/>
  <c r="I138" i="2"/>
  <c r="K137" i="2"/>
  <c r="I137" i="2"/>
  <c r="K136" i="2"/>
  <c r="I136" i="2"/>
  <c r="K135" i="2"/>
  <c r="I135" i="2"/>
  <c r="K134" i="2"/>
  <c r="I134" i="2"/>
  <c r="K133" i="2"/>
  <c r="I133" i="2"/>
  <c r="K132" i="2"/>
  <c r="I132" i="2"/>
  <c r="K131" i="2"/>
  <c r="I131" i="2"/>
  <c r="K130" i="2"/>
  <c r="I130" i="2"/>
  <c r="K129" i="2"/>
  <c r="I129" i="2"/>
  <c r="K128" i="2"/>
  <c r="I128" i="2"/>
  <c r="K127" i="2"/>
  <c r="I127" i="2"/>
  <c r="K126" i="2"/>
  <c r="I126" i="2"/>
  <c r="K125" i="2"/>
  <c r="I125" i="2"/>
  <c r="K124" i="2"/>
  <c r="I124" i="2"/>
  <c r="K123" i="2"/>
  <c r="I123" i="2"/>
  <c r="K122" i="2"/>
  <c r="I122" i="2"/>
  <c r="K121" i="2"/>
  <c r="I121" i="2"/>
  <c r="K120" i="2"/>
  <c r="I120" i="2"/>
  <c r="K119" i="2"/>
  <c r="I119" i="2"/>
  <c r="K118" i="2"/>
  <c r="I118" i="2"/>
  <c r="K117" i="2"/>
  <c r="I117" i="2"/>
  <c r="K116" i="2"/>
  <c r="I116" i="2"/>
  <c r="K115" i="2"/>
  <c r="I115" i="2"/>
  <c r="K114" i="2"/>
  <c r="I114" i="2"/>
  <c r="K113" i="2"/>
  <c r="I113" i="2"/>
  <c r="K112" i="2"/>
  <c r="I112" i="2"/>
  <c r="K111" i="2"/>
  <c r="I111" i="2"/>
  <c r="K110" i="2"/>
  <c r="I110" i="2"/>
  <c r="K109" i="2"/>
  <c r="I109" i="2"/>
  <c r="K108" i="2"/>
  <c r="I108" i="2"/>
  <c r="K107" i="2"/>
  <c r="I107" i="2"/>
  <c r="K106" i="2"/>
  <c r="I106" i="2"/>
  <c r="K105" i="2"/>
  <c r="I105" i="2"/>
  <c r="K104" i="2"/>
  <c r="I104" i="2"/>
  <c r="K103" i="2"/>
  <c r="I103" i="2"/>
  <c r="K102" i="2"/>
  <c r="I102" i="2"/>
  <c r="K101" i="2"/>
  <c r="I101" i="2"/>
  <c r="K100" i="2"/>
  <c r="I100" i="2"/>
  <c r="K99" i="2"/>
  <c r="I99" i="2"/>
  <c r="K98" i="2"/>
  <c r="I98" i="2"/>
  <c r="K97" i="2"/>
  <c r="I97" i="2"/>
  <c r="K96" i="2"/>
  <c r="I96" i="2"/>
  <c r="K95" i="2"/>
  <c r="I95" i="2"/>
  <c r="K94" i="2"/>
  <c r="I94" i="2"/>
  <c r="K93" i="2"/>
  <c r="I93" i="2"/>
  <c r="K92" i="2"/>
  <c r="I92" i="2"/>
  <c r="K91" i="2"/>
  <c r="I91" i="2"/>
  <c r="K90" i="2"/>
  <c r="I90" i="2"/>
  <c r="K89" i="2"/>
  <c r="I89" i="2"/>
  <c r="K88" i="2"/>
  <c r="I88" i="2"/>
  <c r="K87" i="2"/>
  <c r="I87" i="2"/>
  <c r="K86" i="2"/>
  <c r="I86" i="2"/>
  <c r="K85" i="2"/>
  <c r="I85" i="2"/>
  <c r="K84" i="2"/>
  <c r="I84" i="2"/>
  <c r="K83" i="2"/>
  <c r="I83" i="2"/>
  <c r="K82" i="2"/>
  <c r="I82" i="2"/>
  <c r="K81" i="2"/>
  <c r="I81" i="2"/>
  <c r="K80" i="2"/>
  <c r="I80" i="2"/>
  <c r="K79" i="2"/>
  <c r="I79" i="2"/>
  <c r="K78" i="2"/>
  <c r="I78" i="2"/>
  <c r="K77" i="2"/>
  <c r="I77" i="2"/>
  <c r="K76" i="2"/>
  <c r="I76" i="2"/>
  <c r="K75" i="2"/>
  <c r="I75" i="2"/>
  <c r="K74" i="2"/>
  <c r="I74" i="2"/>
  <c r="K73" i="2"/>
  <c r="I73" i="2"/>
  <c r="K72" i="2"/>
  <c r="I72" i="2"/>
  <c r="K71" i="2"/>
  <c r="I71" i="2"/>
  <c r="K70" i="2"/>
  <c r="I70" i="2"/>
  <c r="K69" i="2"/>
  <c r="I69" i="2"/>
  <c r="K68" i="2"/>
  <c r="I68" i="2"/>
  <c r="K67" i="2"/>
  <c r="I67" i="2"/>
  <c r="K66" i="2"/>
  <c r="I66" i="2"/>
  <c r="K65" i="2"/>
  <c r="I65" i="2"/>
  <c r="K64" i="2"/>
  <c r="I64" i="2"/>
  <c r="K63" i="2"/>
  <c r="I63" i="2"/>
  <c r="K62" i="2"/>
  <c r="I62" i="2"/>
  <c r="K61" i="2"/>
  <c r="I61" i="2"/>
  <c r="K60" i="2"/>
  <c r="I60" i="2"/>
  <c r="K59" i="2"/>
  <c r="I59" i="2"/>
  <c r="K58" i="2"/>
  <c r="I58" i="2"/>
  <c r="K57" i="2"/>
  <c r="I57" i="2"/>
  <c r="K56" i="2"/>
  <c r="I56" i="2"/>
  <c r="K55" i="2"/>
  <c r="I55" i="2"/>
  <c r="K54" i="2"/>
  <c r="I54" i="2"/>
  <c r="K53" i="2"/>
  <c r="I53" i="2"/>
  <c r="K52" i="2"/>
  <c r="I52" i="2"/>
  <c r="K51" i="2"/>
  <c r="I51" i="2"/>
  <c r="K50" i="2"/>
  <c r="I50" i="2"/>
  <c r="K49" i="2"/>
  <c r="I49" i="2"/>
  <c r="K48" i="2"/>
  <c r="I48" i="2"/>
  <c r="K47" i="2"/>
  <c r="I47" i="2"/>
  <c r="K46" i="2"/>
  <c r="I46" i="2"/>
  <c r="K45" i="2"/>
  <c r="I45" i="2"/>
  <c r="K44" i="2"/>
  <c r="I44" i="2"/>
  <c r="K43" i="2"/>
  <c r="I43" i="2"/>
  <c r="K42" i="2"/>
  <c r="I42" i="2"/>
  <c r="K41" i="2"/>
  <c r="I41" i="2"/>
  <c r="K40" i="2"/>
  <c r="I40" i="2"/>
  <c r="K39" i="2"/>
  <c r="I39" i="2"/>
  <c r="K38" i="2"/>
  <c r="I38" i="2"/>
  <c r="K37" i="2"/>
  <c r="I37" i="2"/>
  <c r="K36" i="2"/>
  <c r="I36" i="2"/>
  <c r="K35" i="2"/>
  <c r="I35" i="2"/>
  <c r="K34" i="2"/>
  <c r="I34" i="2"/>
  <c r="K33" i="2"/>
  <c r="I33" i="2"/>
  <c r="K32" i="2"/>
  <c r="I32" i="2"/>
  <c r="K31" i="2"/>
  <c r="I31" i="2"/>
  <c r="K30" i="2"/>
  <c r="I30" i="2"/>
  <c r="K29" i="2"/>
  <c r="I29" i="2"/>
  <c r="K28" i="2"/>
  <c r="I28" i="2"/>
  <c r="K27" i="2"/>
  <c r="I27" i="2"/>
  <c r="K26" i="2"/>
  <c r="I26" i="2"/>
  <c r="K25" i="2"/>
  <c r="I25" i="2"/>
  <c r="K24" i="2"/>
  <c r="I24" i="2"/>
  <c r="K23" i="2"/>
  <c r="I23" i="2"/>
  <c r="K22" i="2"/>
  <c r="I22" i="2"/>
  <c r="K21" i="2"/>
  <c r="I21" i="2"/>
  <c r="K20" i="2"/>
  <c r="I20" i="2"/>
  <c r="K19" i="2"/>
  <c r="I19" i="2"/>
  <c r="K18" i="2"/>
  <c r="I18" i="2"/>
  <c r="K17" i="2"/>
  <c r="I17" i="2"/>
  <c r="K16" i="2"/>
  <c r="I16" i="2"/>
  <c r="K15" i="2"/>
  <c r="I15" i="2"/>
  <c r="K14" i="2"/>
  <c r="I14" i="2"/>
  <c r="K13" i="2"/>
  <c r="I13" i="2"/>
  <c r="K12" i="2"/>
  <c r="I12" i="2"/>
  <c r="I11" i="2"/>
  <c r="I10" i="2"/>
  <c r="I9" i="2"/>
  <c r="K8" i="2"/>
  <c r="I8" i="2"/>
  <c r="I7" i="2"/>
  <c r="K6" i="2"/>
  <c r="I6" i="2"/>
  <c r="I5" i="2"/>
  <c r="K4" i="2"/>
  <c r="I4" i="2"/>
  <c r="O200" i="1"/>
  <c r="N200" i="1"/>
  <c r="P200" i="1" s="1"/>
  <c r="O199" i="1"/>
  <c r="N199" i="1"/>
  <c r="P199" i="1" s="1"/>
  <c r="O198" i="1"/>
  <c r="N198" i="1"/>
  <c r="P198" i="1" s="1"/>
  <c r="O197" i="1"/>
  <c r="N197" i="1"/>
  <c r="P197" i="1" s="1"/>
  <c r="O196" i="1"/>
  <c r="N196" i="1"/>
  <c r="P196" i="1" s="1"/>
  <c r="O195" i="1"/>
  <c r="N195" i="1"/>
  <c r="P195" i="1" s="1"/>
  <c r="O194" i="1"/>
  <c r="N194" i="1"/>
  <c r="P194" i="1" s="1"/>
  <c r="O193" i="1"/>
  <c r="N193" i="1"/>
  <c r="P193" i="1" s="1"/>
  <c r="O192" i="1"/>
  <c r="N192" i="1"/>
  <c r="P192" i="1" s="1"/>
  <c r="O191" i="1"/>
  <c r="N191" i="1"/>
  <c r="P191" i="1" s="1"/>
  <c r="O190" i="1"/>
  <c r="N190" i="1"/>
  <c r="P190" i="1" s="1"/>
  <c r="O189" i="1"/>
  <c r="N189" i="1"/>
  <c r="P189" i="1" s="1"/>
  <c r="O188" i="1"/>
  <c r="N188" i="1"/>
  <c r="P188" i="1" s="1"/>
  <c r="O187" i="1"/>
  <c r="N187" i="1"/>
  <c r="P187" i="1" s="1"/>
  <c r="O186" i="1"/>
  <c r="N186" i="1"/>
  <c r="P186" i="1" s="1"/>
  <c r="O185" i="1"/>
  <c r="N185" i="1"/>
  <c r="P185" i="1" s="1"/>
  <c r="O184" i="1"/>
  <c r="N184" i="1"/>
  <c r="P184" i="1" s="1"/>
  <c r="O183" i="1"/>
  <c r="N183" i="1"/>
  <c r="P183" i="1" s="1"/>
  <c r="O182" i="1"/>
  <c r="N182" i="1"/>
  <c r="P182" i="1" s="1"/>
  <c r="O181" i="1"/>
  <c r="N181" i="1"/>
  <c r="P181" i="1" s="1"/>
  <c r="O180" i="1"/>
  <c r="N180" i="1"/>
  <c r="P180" i="1" s="1"/>
  <c r="O179" i="1"/>
  <c r="N179" i="1"/>
  <c r="P179" i="1" s="1"/>
  <c r="O178" i="1"/>
  <c r="N178" i="1"/>
  <c r="P178" i="1" s="1"/>
  <c r="O177" i="1"/>
  <c r="N177" i="1"/>
  <c r="P177" i="1" s="1"/>
  <c r="O176" i="1"/>
  <c r="N176" i="1"/>
  <c r="P176" i="1" s="1"/>
  <c r="O175" i="1"/>
  <c r="N175" i="1"/>
  <c r="P175" i="1" s="1"/>
  <c r="O174" i="1"/>
  <c r="N174" i="1"/>
  <c r="P174" i="1" s="1"/>
  <c r="O173" i="1"/>
  <c r="N173" i="1"/>
  <c r="P173" i="1" s="1"/>
  <c r="O172" i="1"/>
  <c r="N172" i="1"/>
  <c r="P172" i="1" s="1"/>
  <c r="O171" i="1"/>
  <c r="N171" i="1"/>
  <c r="P171" i="1" s="1"/>
  <c r="O170" i="1"/>
  <c r="N170" i="1"/>
  <c r="P170" i="1" s="1"/>
  <c r="O169" i="1"/>
  <c r="N169" i="1"/>
  <c r="P169" i="1" s="1"/>
  <c r="O168" i="1"/>
  <c r="N168" i="1"/>
  <c r="P168" i="1" s="1"/>
  <c r="O167" i="1"/>
  <c r="N167" i="1"/>
  <c r="P167" i="1" s="1"/>
  <c r="O166" i="1"/>
  <c r="N166" i="1"/>
  <c r="P166" i="1" s="1"/>
  <c r="O165" i="1"/>
  <c r="N165" i="1"/>
  <c r="P165" i="1" s="1"/>
  <c r="O164" i="1"/>
  <c r="N164" i="1"/>
  <c r="P164" i="1" s="1"/>
  <c r="O163" i="1"/>
  <c r="N163" i="1"/>
  <c r="P163" i="1" s="1"/>
  <c r="O162" i="1"/>
  <c r="N162" i="1"/>
  <c r="P162" i="1" s="1"/>
  <c r="O161" i="1"/>
  <c r="N161" i="1"/>
  <c r="P161" i="1" s="1"/>
  <c r="O160" i="1"/>
  <c r="N160" i="1"/>
  <c r="P160" i="1" s="1"/>
  <c r="O159" i="1"/>
  <c r="N159" i="1"/>
  <c r="P159" i="1" s="1"/>
  <c r="O158" i="1"/>
  <c r="N158" i="1"/>
  <c r="P158" i="1" s="1"/>
  <c r="O157" i="1"/>
  <c r="N157" i="1"/>
  <c r="P157" i="1" s="1"/>
  <c r="O156" i="1"/>
  <c r="N156" i="1"/>
  <c r="P156" i="1" s="1"/>
  <c r="O155" i="1"/>
  <c r="N155" i="1"/>
  <c r="P155" i="1" s="1"/>
  <c r="O154" i="1"/>
  <c r="N154" i="1"/>
  <c r="P154" i="1" s="1"/>
  <c r="O153" i="1"/>
  <c r="N153" i="1"/>
  <c r="P153" i="1" s="1"/>
  <c r="O152" i="1"/>
  <c r="N152" i="1"/>
  <c r="P152" i="1" s="1"/>
  <c r="O151" i="1"/>
  <c r="N151" i="1"/>
  <c r="P151" i="1" s="1"/>
  <c r="O150" i="1"/>
  <c r="N150" i="1"/>
  <c r="P150" i="1" s="1"/>
  <c r="O149" i="1"/>
  <c r="N149" i="1"/>
  <c r="P149" i="1" s="1"/>
  <c r="O148" i="1"/>
  <c r="N148" i="1"/>
  <c r="P148" i="1" s="1"/>
  <c r="O147" i="1"/>
  <c r="N147" i="1"/>
  <c r="P147" i="1" s="1"/>
  <c r="O146" i="1"/>
  <c r="N146" i="1"/>
  <c r="P146" i="1" s="1"/>
  <c r="O145" i="1"/>
  <c r="N145" i="1"/>
  <c r="P145" i="1" s="1"/>
  <c r="O144" i="1"/>
  <c r="N144" i="1"/>
  <c r="P144" i="1" s="1"/>
  <c r="O143" i="1"/>
  <c r="N143" i="1"/>
  <c r="P143" i="1" s="1"/>
  <c r="O142" i="1"/>
  <c r="N142" i="1"/>
  <c r="P142" i="1" s="1"/>
  <c r="O141" i="1"/>
  <c r="N141" i="1"/>
  <c r="P141" i="1" s="1"/>
  <c r="O140" i="1"/>
  <c r="N140" i="1"/>
  <c r="P140" i="1" s="1"/>
  <c r="O139" i="1"/>
  <c r="N139" i="1"/>
  <c r="P139" i="1" s="1"/>
  <c r="O138" i="1"/>
  <c r="N138" i="1"/>
  <c r="P138" i="1" s="1"/>
  <c r="O137" i="1"/>
  <c r="N137" i="1"/>
  <c r="P137" i="1" s="1"/>
  <c r="O136" i="1"/>
  <c r="N136" i="1"/>
  <c r="P136" i="1" s="1"/>
  <c r="O135" i="1"/>
  <c r="N135" i="1"/>
  <c r="P135" i="1" s="1"/>
  <c r="O134" i="1"/>
  <c r="N134" i="1"/>
  <c r="P134" i="1" s="1"/>
  <c r="O133" i="1"/>
  <c r="N133" i="1"/>
  <c r="P133" i="1" s="1"/>
  <c r="O132" i="1"/>
  <c r="N132" i="1"/>
  <c r="P132" i="1" s="1"/>
  <c r="O131" i="1"/>
  <c r="N131" i="1"/>
  <c r="P131" i="1" s="1"/>
  <c r="O130" i="1"/>
  <c r="N130" i="1"/>
  <c r="P130" i="1" s="1"/>
  <c r="O129" i="1"/>
  <c r="N129" i="1"/>
  <c r="P129" i="1" s="1"/>
  <c r="O128" i="1"/>
  <c r="N128" i="1"/>
  <c r="P128" i="1" s="1"/>
  <c r="O127" i="1"/>
  <c r="N127" i="1"/>
  <c r="P127" i="1" s="1"/>
  <c r="O126" i="1"/>
  <c r="N126" i="1"/>
  <c r="P126" i="1" s="1"/>
  <c r="O125" i="1"/>
  <c r="N125" i="1"/>
  <c r="P125" i="1" s="1"/>
  <c r="O124" i="1"/>
  <c r="N124" i="1"/>
  <c r="P124" i="1" s="1"/>
  <c r="O123" i="1"/>
  <c r="N123" i="1"/>
  <c r="P123" i="1" s="1"/>
  <c r="O122" i="1"/>
  <c r="N122" i="1"/>
  <c r="P122" i="1" s="1"/>
  <c r="O121" i="1"/>
  <c r="N121" i="1"/>
  <c r="P121" i="1" s="1"/>
  <c r="O120" i="1"/>
  <c r="N120" i="1"/>
  <c r="P120" i="1" s="1"/>
  <c r="O119" i="1"/>
  <c r="N119" i="1"/>
  <c r="P119" i="1" s="1"/>
  <c r="O118" i="1"/>
  <c r="N118" i="1"/>
  <c r="P118" i="1" s="1"/>
  <c r="O117" i="1"/>
  <c r="N117" i="1"/>
  <c r="P117" i="1" s="1"/>
  <c r="O116" i="1"/>
  <c r="N116" i="1"/>
  <c r="P116" i="1" s="1"/>
  <c r="O115" i="1"/>
  <c r="N115" i="1"/>
  <c r="P115" i="1" s="1"/>
  <c r="O114" i="1"/>
  <c r="N114" i="1"/>
  <c r="P114" i="1" s="1"/>
  <c r="O113" i="1"/>
  <c r="N113" i="1"/>
  <c r="P113" i="1" s="1"/>
  <c r="O112" i="1"/>
  <c r="N112" i="1"/>
  <c r="P112" i="1" s="1"/>
  <c r="O111" i="1"/>
  <c r="N111" i="1"/>
  <c r="P111" i="1" s="1"/>
  <c r="O110" i="1"/>
  <c r="N110" i="1"/>
  <c r="P110" i="1" s="1"/>
  <c r="O109" i="1"/>
  <c r="N109" i="1"/>
  <c r="P109" i="1" s="1"/>
  <c r="O108" i="1"/>
  <c r="N108" i="1"/>
  <c r="P108" i="1" s="1"/>
  <c r="O107" i="1"/>
  <c r="N107" i="1"/>
  <c r="P107" i="1" s="1"/>
  <c r="O106" i="1"/>
  <c r="N106" i="1"/>
  <c r="P106" i="1" s="1"/>
  <c r="O105" i="1"/>
  <c r="N105" i="1"/>
  <c r="P105" i="1" s="1"/>
  <c r="AO104" i="1"/>
  <c r="O104" i="1"/>
  <c r="P104" i="1" s="1"/>
  <c r="N104" i="1"/>
  <c r="AO103" i="1"/>
  <c r="O103" i="1"/>
  <c r="N103" i="1"/>
  <c r="P103" i="1" s="1"/>
  <c r="AO102" i="1"/>
  <c r="O102" i="1"/>
  <c r="N102" i="1"/>
  <c r="P102" i="1" s="1"/>
  <c r="AO101" i="1"/>
  <c r="O101" i="1"/>
  <c r="P101" i="1" s="1"/>
  <c r="N101" i="1"/>
  <c r="AO100" i="1"/>
  <c r="O100" i="1"/>
  <c r="N100" i="1"/>
  <c r="P100" i="1" s="1"/>
  <c r="AO99" i="1"/>
  <c r="O99" i="1"/>
  <c r="N99" i="1"/>
  <c r="P99" i="1" s="1"/>
  <c r="AO98" i="1"/>
  <c r="O98" i="1"/>
  <c r="P98" i="1" s="1"/>
  <c r="N98" i="1"/>
  <c r="AO97" i="1"/>
  <c r="O97" i="1"/>
  <c r="N97" i="1"/>
  <c r="P97" i="1" s="1"/>
  <c r="AO96" i="1"/>
  <c r="O96" i="1"/>
  <c r="N96" i="1"/>
  <c r="P96" i="1" s="1"/>
  <c r="AO95" i="1"/>
  <c r="O95" i="1"/>
  <c r="P95" i="1" s="1"/>
  <c r="N95" i="1"/>
  <c r="AO94" i="1"/>
  <c r="O94" i="1"/>
  <c r="N94" i="1"/>
  <c r="P94" i="1" s="1"/>
  <c r="AO93" i="1"/>
  <c r="O93" i="1"/>
  <c r="N93" i="1"/>
  <c r="P93" i="1" s="1"/>
  <c r="AO92" i="1"/>
  <c r="O92" i="1"/>
  <c r="P92" i="1" s="1"/>
  <c r="N92" i="1"/>
  <c r="AO91" i="1"/>
  <c r="O91" i="1"/>
  <c r="N91" i="1"/>
  <c r="P91" i="1" s="1"/>
  <c r="AO90" i="1"/>
  <c r="O90" i="1"/>
  <c r="N90" i="1"/>
  <c r="P90" i="1" s="1"/>
  <c r="AO89" i="1"/>
  <c r="O89" i="1"/>
  <c r="P89" i="1" s="1"/>
  <c r="N89" i="1"/>
  <c r="AO88" i="1"/>
  <c r="O88" i="1"/>
  <c r="N88" i="1"/>
  <c r="P88" i="1" s="1"/>
  <c r="AO87" i="1"/>
  <c r="O87" i="1"/>
  <c r="N87" i="1"/>
  <c r="P87" i="1" s="1"/>
  <c r="AO86" i="1"/>
  <c r="O86" i="1"/>
  <c r="P86" i="1" s="1"/>
  <c r="N86" i="1"/>
  <c r="AO85" i="1"/>
  <c r="O85" i="1"/>
  <c r="N85" i="1"/>
  <c r="P85" i="1" s="1"/>
  <c r="AO84" i="1"/>
  <c r="O84" i="1"/>
  <c r="N84" i="1"/>
  <c r="P84" i="1" s="1"/>
  <c r="AO83" i="1"/>
  <c r="O83" i="1"/>
  <c r="P83" i="1" s="1"/>
  <c r="N83" i="1"/>
  <c r="AO82" i="1"/>
  <c r="O82" i="1"/>
  <c r="N82" i="1"/>
  <c r="P82" i="1" s="1"/>
  <c r="AO81" i="1"/>
  <c r="O81" i="1"/>
  <c r="N81" i="1"/>
  <c r="P81" i="1" s="1"/>
  <c r="AO80" i="1"/>
  <c r="O80" i="1"/>
  <c r="P80" i="1" s="1"/>
  <c r="N80" i="1"/>
  <c r="AO79" i="1"/>
  <c r="O79" i="1"/>
  <c r="N79" i="1"/>
  <c r="P79" i="1" s="1"/>
  <c r="AO78" i="1"/>
  <c r="O78" i="1"/>
  <c r="N78" i="1"/>
  <c r="P78" i="1" s="1"/>
  <c r="AO77" i="1"/>
  <c r="O77" i="1"/>
  <c r="P77" i="1" s="1"/>
  <c r="N77" i="1"/>
  <c r="AO76" i="1"/>
  <c r="O76" i="1"/>
  <c r="N76" i="1"/>
  <c r="P76" i="1" s="1"/>
  <c r="AO75" i="1"/>
  <c r="O75" i="1"/>
  <c r="N75" i="1"/>
  <c r="P75" i="1" s="1"/>
  <c r="AO74" i="1"/>
  <c r="O74" i="1"/>
  <c r="P74" i="1" s="1"/>
  <c r="N74" i="1"/>
  <c r="AO73" i="1"/>
  <c r="O73" i="1"/>
  <c r="N73" i="1"/>
  <c r="P73" i="1" s="1"/>
  <c r="AO72" i="1"/>
  <c r="O72" i="1"/>
  <c r="N72" i="1"/>
  <c r="P72" i="1" s="1"/>
  <c r="AO71" i="1"/>
  <c r="O71" i="1"/>
  <c r="P71" i="1" s="1"/>
  <c r="N71" i="1"/>
  <c r="AO70" i="1"/>
  <c r="O70" i="1"/>
  <c r="N70" i="1"/>
  <c r="P70" i="1" s="1"/>
  <c r="AO69" i="1"/>
  <c r="O69" i="1"/>
  <c r="N69" i="1"/>
  <c r="P69" i="1" s="1"/>
  <c r="AO68" i="1"/>
  <c r="O68" i="1"/>
  <c r="P68" i="1" s="1"/>
  <c r="N68" i="1"/>
  <c r="AO67" i="1"/>
  <c r="O67" i="1"/>
  <c r="N67" i="1"/>
  <c r="P67" i="1" s="1"/>
  <c r="AO66" i="1"/>
  <c r="O66" i="1"/>
  <c r="N66" i="1"/>
  <c r="P66" i="1" s="1"/>
  <c r="AO65" i="1"/>
  <c r="O65" i="1"/>
  <c r="P65" i="1" s="1"/>
  <c r="N65" i="1"/>
  <c r="AO64" i="1"/>
  <c r="O64" i="1"/>
  <c r="N64" i="1"/>
  <c r="P64" i="1" s="1"/>
  <c r="AO63" i="1"/>
  <c r="O63" i="1"/>
  <c r="N63" i="1"/>
  <c r="P63" i="1" s="1"/>
  <c r="AO62" i="1"/>
  <c r="O62" i="1"/>
  <c r="P62" i="1" s="1"/>
  <c r="N62" i="1"/>
  <c r="AO61" i="1"/>
  <c r="O61" i="1"/>
  <c r="N61" i="1"/>
  <c r="P61" i="1" s="1"/>
  <c r="AO60" i="1"/>
  <c r="O60" i="1"/>
  <c r="N60" i="1"/>
  <c r="P60" i="1" s="1"/>
  <c r="AO59" i="1"/>
  <c r="O59" i="1"/>
  <c r="P59" i="1" s="1"/>
  <c r="N59" i="1"/>
  <c r="AO58" i="1"/>
  <c r="O58" i="1"/>
  <c r="N58" i="1"/>
  <c r="P58" i="1" s="1"/>
  <c r="AO57" i="1"/>
  <c r="O57" i="1"/>
  <c r="N57" i="1"/>
  <c r="P57" i="1" s="1"/>
  <c r="AO56" i="1"/>
  <c r="O56" i="1"/>
  <c r="P56" i="1" s="1"/>
  <c r="N56" i="1"/>
  <c r="AO55" i="1"/>
  <c r="O55" i="1"/>
  <c r="N55" i="1"/>
  <c r="P55" i="1" s="1"/>
  <c r="AO54" i="1"/>
  <c r="O54" i="1"/>
  <c r="N54" i="1"/>
  <c r="P54" i="1" s="1"/>
  <c r="AO53" i="1"/>
  <c r="O53" i="1"/>
  <c r="P53" i="1" s="1"/>
  <c r="N53" i="1"/>
  <c r="AO52" i="1"/>
  <c r="O52" i="1"/>
  <c r="N52" i="1"/>
  <c r="P52" i="1" s="1"/>
  <c r="AO51" i="1"/>
  <c r="O51" i="1"/>
  <c r="N51" i="1"/>
  <c r="P51" i="1" s="1"/>
  <c r="AO50" i="1"/>
  <c r="O50" i="1"/>
  <c r="P50" i="1" s="1"/>
  <c r="N50" i="1"/>
  <c r="AO49" i="1"/>
  <c r="O49" i="1"/>
  <c r="N49" i="1"/>
  <c r="P49" i="1" s="1"/>
  <c r="AO48" i="1"/>
  <c r="O48" i="1"/>
  <c r="N48" i="1"/>
  <c r="P48" i="1" s="1"/>
  <c r="AO47" i="1"/>
  <c r="O47" i="1"/>
  <c r="P47" i="1" s="1"/>
  <c r="N47" i="1"/>
  <c r="AO46" i="1"/>
  <c r="O46" i="1"/>
  <c r="N46" i="1"/>
  <c r="P46" i="1" s="1"/>
  <c r="AO45" i="1"/>
  <c r="O45" i="1"/>
  <c r="N45" i="1"/>
  <c r="P45" i="1" s="1"/>
  <c r="AO44" i="1"/>
  <c r="O44" i="1"/>
  <c r="P44" i="1" s="1"/>
  <c r="N44" i="1"/>
  <c r="AO43" i="1"/>
  <c r="O43" i="1"/>
  <c r="N43" i="1"/>
  <c r="P43" i="1" s="1"/>
  <c r="AO42" i="1"/>
  <c r="O42" i="1"/>
  <c r="N42" i="1"/>
  <c r="P42" i="1" s="1"/>
  <c r="AO41" i="1"/>
  <c r="O41" i="1"/>
  <c r="P41" i="1" s="1"/>
  <c r="N41" i="1"/>
  <c r="AO40" i="1"/>
  <c r="O40" i="1"/>
  <c r="N40" i="1"/>
  <c r="P40" i="1" s="1"/>
  <c r="AO39" i="1"/>
  <c r="O39" i="1"/>
  <c r="N39" i="1"/>
  <c r="P39" i="1" s="1"/>
  <c r="AO38" i="1"/>
  <c r="O38" i="1"/>
  <c r="P38" i="1" s="1"/>
  <c r="N38" i="1"/>
  <c r="AO37" i="1"/>
  <c r="O37" i="1"/>
  <c r="N37" i="1"/>
  <c r="P37" i="1" s="1"/>
  <c r="AO36" i="1"/>
  <c r="O36" i="1"/>
  <c r="N36" i="1"/>
  <c r="P36" i="1" s="1"/>
  <c r="AO35" i="1"/>
  <c r="O35" i="1"/>
  <c r="P35" i="1" s="1"/>
  <c r="N35" i="1"/>
  <c r="AO34" i="1"/>
  <c r="O34" i="1"/>
  <c r="N34" i="1"/>
  <c r="P34" i="1" s="1"/>
  <c r="AO33" i="1"/>
  <c r="O33" i="1"/>
  <c r="N33" i="1"/>
  <c r="P33" i="1" s="1"/>
  <c r="AO32" i="1"/>
  <c r="O32" i="1"/>
  <c r="P32" i="1" s="1"/>
  <c r="N32" i="1"/>
  <c r="AO31" i="1"/>
  <c r="O31" i="1"/>
  <c r="N31" i="1"/>
  <c r="P31" i="1" s="1"/>
  <c r="AO30" i="1"/>
  <c r="O30" i="1"/>
  <c r="N30" i="1"/>
  <c r="P30" i="1" s="1"/>
  <c r="AO29" i="1"/>
  <c r="O29" i="1"/>
  <c r="P29" i="1" s="1"/>
  <c r="N29" i="1"/>
  <c r="AO28" i="1"/>
  <c r="O28" i="1"/>
  <c r="N28" i="1"/>
  <c r="P28" i="1" s="1"/>
  <c r="AO27" i="1"/>
  <c r="O27" i="1"/>
  <c r="N27" i="1"/>
  <c r="P27" i="1" s="1"/>
  <c r="AO26" i="1"/>
  <c r="O26" i="1"/>
  <c r="P26" i="1" s="1"/>
  <c r="N26" i="1"/>
  <c r="AO25" i="1"/>
  <c r="O25" i="1"/>
  <c r="N25" i="1"/>
  <c r="P25" i="1" s="1"/>
  <c r="AO24" i="1"/>
  <c r="O24" i="1"/>
  <c r="N24" i="1"/>
  <c r="P24" i="1" s="1"/>
  <c r="AO23" i="1"/>
  <c r="O23" i="1"/>
  <c r="P23" i="1" s="1"/>
  <c r="N23" i="1"/>
  <c r="AO22" i="1"/>
  <c r="O22" i="1"/>
  <c r="N22" i="1"/>
  <c r="P22" i="1" s="1"/>
  <c r="AO21" i="1"/>
  <c r="O21" i="1"/>
  <c r="N21" i="1"/>
  <c r="P21" i="1" s="1"/>
  <c r="AO20" i="1"/>
  <c r="O20" i="1"/>
  <c r="P20" i="1" s="1"/>
  <c r="N20" i="1"/>
  <c r="AO19" i="1"/>
  <c r="O19" i="1"/>
  <c r="N19" i="1"/>
  <c r="P19" i="1" s="1"/>
  <c r="AO18" i="1"/>
  <c r="O18" i="1"/>
  <c r="N18" i="1"/>
  <c r="P18" i="1" s="1"/>
  <c r="AO17" i="1"/>
  <c r="O17" i="1"/>
  <c r="N17" i="1"/>
  <c r="P17" i="1" s="1"/>
  <c r="AO16" i="1"/>
  <c r="O16" i="1"/>
  <c r="N16" i="1"/>
  <c r="P16" i="1" s="1"/>
  <c r="AO15" i="1"/>
  <c r="O15" i="1"/>
  <c r="N15" i="1"/>
  <c r="P15" i="1" s="1"/>
  <c r="AO14" i="1"/>
  <c r="O14" i="1"/>
  <c r="N14" i="1"/>
  <c r="P14" i="1" s="1"/>
  <c r="AO13" i="1"/>
  <c r="O13" i="1"/>
  <c r="N13" i="1"/>
  <c r="P13" i="1" s="1"/>
  <c r="AO12" i="1"/>
  <c r="O12" i="1"/>
  <c r="N12" i="1"/>
  <c r="P12" i="1" s="1"/>
  <c r="AO11" i="1"/>
  <c r="O11" i="1"/>
  <c r="N11" i="1"/>
  <c r="P11" i="1" s="1"/>
  <c r="AO10" i="1"/>
  <c r="O10" i="1"/>
  <c r="N10" i="1"/>
  <c r="P10" i="1" s="1"/>
  <c r="AO9" i="1"/>
  <c r="O9" i="1"/>
  <c r="N9" i="1"/>
  <c r="P9" i="1" s="1"/>
  <c r="AO8" i="1"/>
  <c r="O8" i="1"/>
  <c r="N8" i="1"/>
  <c r="P8" i="1" s="1"/>
  <c r="AO7" i="1"/>
  <c r="O7" i="1"/>
  <c r="N7" i="1"/>
  <c r="P7" i="1" s="1"/>
  <c r="AO6" i="1"/>
  <c r="O6" i="1"/>
  <c r="N6" i="1"/>
  <c r="P6" i="1" s="1"/>
  <c r="AO5" i="1"/>
  <c r="O5" i="1"/>
  <c r="N5" i="1"/>
  <c r="P5" i="1" s="1"/>
  <c r="O4" i="1"/>
  <c r="P4" i="1" s="1"/>
  <c r="AO4" i="1" l="1"/>
</calcChain>
</file>

<file path=xl/sharedStrings.xml><?xml version="1.0" encoding="utf-8"?>
<sst xmlns="http://schemas.openxmlformats.org/spreadsheetml/2006/main" count="182" uniqueCount="126">
  <si>
    <t>ID MUESTRA *</t>
  </si>
  <si>
    <t>MONITOREO *</t>
  </si>
  <si>
    <t>EMPRESA DE SERVICIO *</t>
  </si>
  <si>
    <t>EMPRESA A FACTURAR *</t>
  </si>
  <si>
    <t>BASE DE OPERACIONES *</t>
  </si>
  <si>
    <t>CENTRO / FUENTE EMISORA *</t>
  </si>
  <si>
    <t>CONTACTO NOMBRE</t>
  </si>
  <si>
    <t>CONTACTO EMAIL</t>
  </si>
  <si>
    <t>OBJETIVO MUESTREO *</t>
  </si>
  <si>
    <t>RESPONSABLE DEL MUESTREO</t>
  </si>
  <si>
    <t xml:space="preserve">CARGO </t>
  </si>
  <si>
    <t>PUNTO DE MUESTREO</t>
  </si>
  <si>
    <t>FRECUENCIA PERÍODO
(selección)</t>
  </si>
  <si>
    <t>FREC. CANTIDAD
(auto)</t>
  </si>
  <si>
    <t>FACTOR
(auto)</t>
  </si>
  <si>
    <t>TOTAL SERVICIOS
(auto)</t>
  </si>
  <si>
    <t>UTM NORTE</t>
  </si>
  <si>
    <t>UTM ESTE</t>
  </si>
  <si>
    <t>INSTRUMENTO AMBIENTAL</t>
  </si>
  <si>
    <t>COMPONENTE AMBIENTAL *</t>
  </si>
  <si>
    <t>SUB ÁREA</t>
  </si>
  <si>
    <t>NOMBRE TABLA</t>
  </si>
  <si>
    <t>ETFA S/N</t>
  </si>
  <si>
    <t>INSPECTOR AMBIENTAL</t>
  </si>
  <si>
    <t>TIPO DE MUESTREO</t>
  </si>
  <si>
    <t>TIPO DE MUESTRA</t>
  </si>
  <si>
    <t>ACTIVIDAD DEL MUESTREO</t>
  </si>
  <si>
    <t>DURACIÓN DEL MUESTREO</t>
  </si>
  <si>
    <t>TIPO DE DESCARGA</t>
  </si>
  <si>
    <t>REF. GOOGLE MAPS</t>
  </si>
  <si>
    <t>MEDICION CAUDAL</t>
  </si>
  <si>
    <t>MODALIDAD</t>
  </si>
  <si>
    <t>FORMA CANAL</t>
  </si>
  <si>
    <t>U MEDIDA FORMA CANAL</t>
  </si>
  <si>
    <t>VALOR FORMA CANAL</t>
  </si>
  <si>
    <t>DISPOSITIVO HIDRÁULICO</t>
  </si>
  <si>
    <t>U MEDIDA DISPOSITIVO HIDRÁULICO</t>
  </si>
  <si>
    <t>VALOR DISPOSITIVO HIDRÁULICO</t>
  </si>
  <si>
    <t>OBSERVACIONES</t>
  </si>
  <si>
    <t>✏️ UF DISTRIBUIR (Escriba Aquí)</t>
  </si>
  <si>
    <t>🔁 UF TOTAL REAL (AUTO)</t>
  </si>
  <si>
    <t>M-001</t>
  </si>
  <si>
    <t>Compuesto</t>
  </si>
  <si>
    <t>Invermar S.A.</t>
  </si>
  <si>
    <t>Puerto Montt</t>
  </si>
  <si>
    <t>Piscicultura Lago Verde</t>
  </si>
  <si>
    <t>Maria Jose Castro</t>
  </si>
  <si>
    <t>mariajose.castro@invermar.cl</t>
  </si>
  <si>
    <t>Autocontrol</t>
  </si>
  <si>
    <t>ADL Diagnostic</t>
  </si>
  <si>
    <t>Muestreador</t>
  </si>
  <si>
    <t>Efluente</t>
  </si>
  <si>
    <t>Mensual</t>
  </si>
  <si>
    <t>Resolución SISS N° 3360/2011</t>
  </si>
  <si>
    <t>Agua</t>
  </si>
  <si>
    <t>Agua residual</t>
  </si>
  <si>
    <t>DS 90</t>
  </si>
  <si>
    <t>Si</t>
  </si>
  <si>
    <t>Pablo Flores</t>
  </si>
  <si>
    <t>Automático</t>
  </si>
  <si>
    <t>Medición y Muestreo</t>
  </si>
  <si>
    <t>Continua</t>
  </si>
  <si>
    <t>https://maps.app.goo.gl/u91f5prJhZa5mTyu5</t>
  </si>
  <si>
    <t>Limite normativo pH: 6,0 - 8,5 
Limite normativo T°: 40° C
Limite normavito caudal: 71.256 m3/d
Caudal: Anotar totalizador de inicio y final para calcular VDD (volumen descarga diario)</t>
  </si>
  <si>
    <t>🧪 ADL ONE — Carga Masiva  |  Hoja 2: ANALISIS (una fila = un análisis)</t>
  </si>
  <si>
    <t>⚠️ SI DESEA MODIFICAR LA UF, ESCRIBA EN LA COLUMNA AZUL "UF MANUAL". NO TOQUE LA COLUMNA VERDE.</t>
  </si>
  <si>
    <t>NOMBRE ANÁLISIS *</t>
  </si>
  <si>
    <t>TIPO ANÁLISIS *</t>
  </si>
  <si>
    <t>LABORATORIO 1 *</t>
  </si>
  <si>
    <t>TIPO ENTREGA *</t>
  </si>
  <si>
    <t>NORMATIVA</t>
  </si>
  <si>
    <t>REFERENCIA NORMATIVA</t>
  </si>
  <si>
    <t>LABORATORIO 2</t>
  </si>
  <si>
    <t>🔁 UF INDIVIDUAL (AUTO)</t>
  </si>
  <si>
    <t>✏️ UF MANUAL (Escriba Aquí)</t>
  </si>
  <si>
    <t>_CNT</t>
  </si>
  <si>
    <t>pH</t>
  </si>
  <si>
    <t>Terreno</t>
  </si>
  <si>
    <t>No aplica</t>
  </si>
  <si>
    <t>D.S 90</t>
  </si>
  <si>
    <t xml:space="preserve">Tabla 1 </t>
  </si>
  <si>
    <t>Temperatura</t>
  </si>
  <si>
    <t>Caudal</t>
  </si>
  <si>
    <t>Aceites y Grasas</t>
  </si>
  <si>
    <t>Laboratorio</t>
  </si>
  <si>
    <t>Hidrolab</t>
  </si>
  <si>
    <t>Transporte</t>
  </si>
  <si>
    <t>DBO5</t>
  </si>
  <si>
    <t>Nitrogeno Total Kjeldahl</t>
  </si>
  <si>
    <t>Poder Espumogeno</t>
  </si>
  <si>
    <t>Solidos Suspendidos Totales</t>
  </si>
  <si>
    <t>Fósforo Total</t>
  </si>
  <si>
    <t>Cloruros</t>
  </si>
  <si>
    <t>📖 INSTRUCCIONES DE USO</t>
  </si>
  <si>
    <t/>
  </si>
  <si>
    <t>1. HOJA "FICHAS": Ingrese los datos de la ficha en una fila.</t>
  </si>
  <si>
    <t xml:space="preserve">   • La columna AZUL "✏️ UF DISTRIBUIR" es donde usted pone el valor total.</t>
  </si>
  <si>
    <t>2. HOJA "ANALISIS": Repita el ID MUESTRA por cada análisis.</t>
  </si>
  <si>
    <t xml:space="preserve">   • La columna VERDE "🔁 UF INDIVIDUAL" se calculará dividiendo la UF DISTRIBUIR.</t>
  </si>
  <si>
    <t xml:space="preserve">   • Si quiere que un análisis específico tenga otro valor, escríbalo en la columna AZUL "✏️ UF MANUAL".</t>
  </si>
  <si>
    <t>3. DINAMISMO:</t>
  </si>
  <si>
    <t xml:space="preserve">   • Al escribir en UF DISTRIBUIR (Hoja 1), se actualizan todos los análisis (Hoja 2).</t>
  </si>
  <si>
    <t xml:space="preserve">   • Al escribir en UF MANUAL (Hoja 2), se actualiza el UF TOTAL REAL (Hoja 1).</t>
  </si>
  <si>
    <t>Hora</t>
  </si>
  <si>
    <t>12</t>
  </si>
  <si>
    <t>Diaria</t>
  </si>
  <si>
    <t>1</t>
  </si>
  <si>
    <t>Semanal</t>
  </si>
  <si>
    <t>2</t>
  </si>
  <si>
    <t>3</t>
  </si>
  <si>
    <t>Bimensual</t>
  </si>
  <si>
    <t>4</t>
  </si>
  <si>
    <t>Trimestral</t>
  </si>
  <si>
    <t>5</t>
  </si>
  <si>
    <t>Cuatrimestral</t>
  </si>
  <si>
    <t>6</t>
  </si>
  <si>
    <t>Semestral</t>
  </si>
  <si>
    <t>7</t>
  </si>
  <si>
    <t>Anual</t>
  </si>
  <si>
    <t>8</t>
  </si>
  <si>
    <t>Eventual</t>
  </si>
  <si>
    <t>9</t>
  </si>
  <si>
    <t>Remuestreo</t>
  </si>
  <si>
    <t>10</t>
  </si>
  <si>
    <t>Bimestral</t>
  </si>
  <si>
    <t>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</si>
</sst>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  <font>
      <b/>
      <sz val="10"/>
      <color rgb="FF856404"/>
      <name val="Calibri"/>
    </font>
    <font>
      <b/>
      <sz val="10"/>
      <color rgb="FFFFFFFF"/>
      <name val="Calibri"/>
    </font>
    <font>
      <sz val="10"/>
      <name val="Calibri"/>
    </font>
    <font>
      <i/>
      <sz val="10"/>
      <color rgb="FF1A7A1A"/>
      <name val="Calibri"/>
    </font>
    <font>
      <b/>
      <sz val="14"/>
      <color rgb="FFFFFFFF"/>
      <name val="Calibri"/>
    </font>
    <font>
      <sz val="10"/>
      <color rgb="FF000000"/>
      <name val="Calibri"/>
    </font>
    <font>
      <sz val="11"/>
      <color rgb="FF000000"/>
      <name val="Calibri"/>
    </font>
    <font>
      <sz val="11"/>
      <color rgb="FF1A5276"/>
      <name val="Calibri"/>
    </font>
    <font>
      <sz val="11"/>
      <color rgb="FF1A7A1A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A6FBF"/>
      </patternFill>
    </fill>
    <fill>
      <patternFill patternType="solid">
        <fgColor rgb="FFFFF3CD"/>
      </patternFill>
    </fill>
    <fill>
      <patternFill patternType="solid">
        <fgColor rgb="FF0A7A3A"/>
      </patternFill>
    </fill>
    <fill>
      <patternFill patternType="solid">
        <fgColor rgb="FF2E86C1"/>
      </patternFill>
    </fill>
    <fill>
      <patternFill patternType="solid">
        <fgColor rgb="FFD6EAF8"/>
      </patternFill>
    </fill>
    <fill>
      <patternFill patternType="solid">
        <fgColor rgb="FFEAF7EA"/>
      </patternFill>
    </fill>
    <fill>
      <patternFill patternType="solid">
        <fgColor rgb="FF0D5C2E"/>
      </patternFill>
    </fill>
    <fill>
      <patternFill patternType="solid">
        <fgColor rgb="FFFFFFFF"/>
      </patternFill>
    </fill>
    <fill>
      <patternFill patternType="solid">
        <fgColor rgb="FFFDF2E9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DC9D7"/>
      </left>
      <right style="thin">
        <color rgb="FFBDC9D7"/>
      </right>
      <top style="thin">
        <color rgb="FFBDC9D7"/>
      </top>
      <bottom style="thin">
        <color rgb="FFBDC9D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/>
    <xf numFmtId="0" fontId="3" fillId="8" borderId="2" xfId="0" applyFont="1" applyFill="1" applyBorder="1" applyAlignment="1">
      <alignment horizontal="center" vertical="center" wrapText="1"/>
    </xf>
    <xf numFmtId="0" fontId="6" fillId="2" borderId="0" xfId="0" applyFont="1" applyFill="1"/>
    <xf numFmtId="0" fontId="7" fillId="9" borderId="0" xfId="0" applyFont="1" applyFill="1"/>
    <xf numFmtId="0" fontId="8" fillId="9" borderId="0" xfId="0" applyFont="1" applyFill="1"/>
    <xf numFmtId="0" fontId="9" fillId="6" borderId="0" xfId="0" applyFont="1" applyFill="1"/>
    <xf numFmtId="0" fontId="10" fillId="7" borderId="0" xfId="0" applyFont="1" applyFill="1"/>
    <xf numFmtId="0" fontId="7" fillId="10" borderId="0" xfId="0" applyFont="1" applyFill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6FBF"/>
  </sheetPr>
  <dimension ref="A1:AQ200"/>
  <sheetViews>
    <sheetView tabSelected="1" zoomScale="85" zoomScaleNormal="85" workbookViewId="0">
      <pane xSplit="1" ySplit="3" topLeftCell="H4" activePane="bottomRight" state="frozen"/>
      <selection pane="topRight"/>
      <selection pane="bottomLeft"/>
      <selection pane="bottomRight" activeCell="O4" sqref="O4"/>
    </sheetView>
  </sheetViews>
  <sheetFormatPr baseColWidth="10" defaultColWidth="8.88671875" defaultRowHeight="14.4" customHeight="1" x14ac:dyDescent="0.3"/>
  <cols>
    <col min="1" max="1" width="14" customWidth="1"/>
    <col min="2" max="2" width="18" customWidth="1"/>
    <col min="3" max="4" width="30" customWidth="1"/>
    <col min="5" max="5" width="22" customWidth="1"/>
    <col min="6" max="6" width="30" customWidth="1"/>
    <col min="7" max="7" width="26" customWidth="1"/>
    <col min="8" max="8" width="28" customWidth="1"/>
    <col min="9" max="9" width="22" customWidth="1"/>
    <col min="10" max="10" width="24" customWidth="1"/>
    <col min="11" max="11" width="20" customWidth="1"/>
    <col min="12" max="12" width="22" customWidth="1"/>
    <col min="13" max="13" width="20" customWidth="1"/>
    <col min="14" max="14" width="16" customWidth="1"/>
    <col min="15" max="15" width="22" customWidth="1"/>
    <col min="16" max="16" width="12" customWidth="1"/>
    <col min="17" max="18" width="14" customWidth="1"/>
    <col min="19" max="19" width="28" customWidth="1"/>
    <col min="20" max="20" width="22" customWidth="1"/>
    <col min="21" max="22" width="20" customWidth="1"/>
    <col min="23" max="23" width="10" customWidth="1"/>
    <col min="24" max="26" width="22" customWidth="1"/>
    <col min="27" max="27" width="26" customWidth="1"/>
    <col min="28" max="28" width="22" customWidth="1"/>
    <col min="29" max="29" width="18" customWidth="1"/>
    <col min="30" max="30" width="38" customWidth="1"/>
    <col min="31" max="32" width="18" customWidth="1"/>
    <col min="33" max="33" width="16" customWidth="1"/>
    <col min="34" max="34" width="22" customWidth="1"/>
    <col min="35" max="35" width="20" customWidth="1"/>
    <col min="36" max="36" width="22" customWidth="1"/>
    <col min="37" max="38" width="30" customWidth="1"/>
    <col min="39" max="39" width="49.33203125" customWidth="1"/>
    <col min="40" max="40" width="25" customWidth="1"/>
    <col min="41" max="41" width="20" customWidth="1"/>
  </cols>
  <sheetData>
    <row r="1" spans="1:43" ht="15.6" customHeight="1" x14ac:dyDescent="0.25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5"/>
      <c r="AQ1" s="15"/>
    </row>
    <row r="2" spans="1:43" x14ac:dyDescent="0.25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5"/>
      <c r="AQ2" s="15"/>
    </row>
    <row r="3" spans="1:43" ht="34.950000000000003" customHeight="1" x14ac:dyDescent="0.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1" t="s">
        <v>16</v>
      </c>
      <c r="R3" s="1" t="s">
        <v>17</v>
      </c>
      <c r="S3" s="1" t="s">
        <v>18</v>
      </c>
      <c r="T3" s="1" t="s">
        <v>19</v>
      </c>
      <c r="U3" s="1" t="s">
        <v>20</v>
      </c>
      <c r="V3" s="1" t="s">
        <v>21</v>
      </c>
      <c r="W3" s="1" t="s">
        <v>22</v>
      </c>
      <c r="X3" s="1" t="s">
        <v>23</v>
      </c>
      <c r="Y3" s="1" t="s">
        <v>24</v>
      </c>
      <c r="Z3" s="1" t="s">
        <v>25</v>
      </c>
      <c r="AA3" s="1" t="s">
        <v>26</v>
      </c>
      <c r="AB3" s="1" t="s">
        <v>27</v>
      </c>
      <c r="AC3" s="1" t="s">
        <v>28</v>
      </c>
      <c r="AD3" s="1" t="s">
        <v>29</v>
      </c>
      <c r="AE3" s="1" t="s">
        <v>30</v>
      </c>
      <c r="AF3" s="1" t="s">
        <v>31</v>
      </c>
      <c r="AG3" s="1" t="s">
        <v>32</v>
      </c>
      <c r="AH3" s="1" t="s">
        <v>33</v>
      </c>
      <c r="AI3" s="1" t="s">
        <v>34</v>
      </c>
      <c r="AJ3" s="1" t="s">
        <v>35</v>
      </c>
      <c r="AK3" s="1" t="s">
        <v>36</v>
      </c>
      <c r="AL3" s="1" t="s">
        <v>37</v>
      </c>
      <c r="AM3" s="1" t="s">
        <v>38</v>
      </c>
      <c r="AN3" s="2" t="s">
        <v>39</v>
      </c>
      <c r="AO3" s="1" t="s">
        <v>40</v>
      </c>
    </row>
    <row r="4" spans="1:43" ht="96.6" customHeight="1" x14ac:dyDescent="0.3">
      <c r="A4" s="3" t="s">
        <v>41</v>
      </c>
      <c r="B4" s="4" t="s">
        <v>42</v>
      </c>
      <c r="C4" s="4" t="s">
        <v>43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>
        <v>4</v>
      </c>
      <c r="O4" s="4">
        <f>IF(M4="", "", IFERROR(VLOOKUP(IF(ISNUMBER(M4),TEXT(M4,"0"),M4), _MAPPINGS!$A$1:$C$24, 3, FALSE), 1))</f>
        <v>12</v>
      </c>
      <c r="P4" s="4">
        <f t="shared" ref="P4:P35" si="0">IF(AND(N4&lt;&gt;"", O4&lt;&gt;""), N4*O4, "")</f>
        <v>48</v>
      </c>
      <c r="Q4" s="4">
        <v>5426758</v>
      </c>
      <c r="R4" s="4">
        <v>711953</v>
      </c>
      <c r="S4" s="4" t="s">
        <v>53</v>
      </c>
      <c r="T4" s="4" t="s">
        <v>54</v>
      </c>
      <c r="U4" s="4" t="s">
        <v>55</v>
      </c>
      <c r="V4" s="4" t="s">
        <v>56</v>
      </c>
      <c r="W4" s="4" t="s">
        <v>57</v>
      </c>
      <c r="X4" s="4" t="s">
        <v>58</v>
      </c>
      <c r="Y4" s="4" t="s">
        <v>59</v>
      </c>
      <c r="Z4" s="4" t="s">
        <v>55</v>
      </c>
      <c r="AA4" s="4" t="s">
        <v>60</v>
      </c>
      <c r="AB4" s="4">
        <v>24</v>
      </c>
      <c r="AC4" s="4" t="s">
        <v>61</v>
      </c>
      <c r="AD4" s="4" t="s">
        <v>62</v>
      </c>
      <c r="AE4" s="4" t="s">
        <v>59</v>
      </c>
      <c r="AF4" s="4"/>
      <c r="AG4" s="4"/>
      <c r="AH4" s="4"/>
      <c r="AI4" s="4"/>
      <c r="AJ4" s="4"/>
      <c r="AK4" s="4"/>
      <c r="AL4" s="4"/>
      <c r="AM4" s="5" t="s">
        <v>63</v>
      </c>
      <c r="AN4" s="3">
        <v>20</v>
      </c>
      <c r="AO4" s="4">
        <f>SUMIF(ANALISIS!A:A, A4, INDEX(ANALISIS!A:ZZ, 0, MATCH("🔁 UF INDIVIDUAL (AUTO)", ANALISIS!$3:$3, 0)))</f>
        <v>20</v>
      </c>
    </row>
    <row r="5" spans="1:43" ht="19.95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 t="str">
        <f>IF(M5="", "", IFERROR(VLOOKUP(IF(ISNUMBER(M5),TEXT(M5,"0"),M5), _MAPPINGS!$A$1:$C$24, 2, FALSE), 1))</f>
        <v/>
      </c>
      <c r="O5" s="4" t="str">
        <f>IF(M5="", "", IFERROR(VLOOKUP(IF(ISNUMBER(M5),TEXT(M5,"0"),M5), _MAPPINGS!$A$1:$C$24, 3, FALSE), 1))</f>
        <v/>
      </c>
      <c r="P5" s="4" t="str">
        <f t="shared" si="0"/>
        <v/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3"/>
      <c r="AO5" s="4">
        <f>SUMIF(ANALISIS!A:A, A5, INDEX(ANALISIS!A:ZZ, 0, MATCH("🔁 UF INDIVIDUAL (AUTO)", ANALISIS!$3:$3, 0)))</f>
        <v>0</v>
      </c>
    </row>
    <row r="6" spans="1:43" ht="19.95" customHeight="1" x14ac:dyDescent="0.25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 t="str">
        <f>IF(M6="", "", IFERROR(VLOOKUP(IF(ISNUMBER(M6),TEXT(M6,"0"),M6), _MAPPINGS!$A$1:$C$24, 2, FALSE), 1))</f>
        <v/>
      </c>
      <c r="O6" s="4" t="str">
        <f>IF(M6="", "", IFERROR(VLOOKUP(IF(ISNUMBER(M6),TEXT(M6,"0"),M6), _MAPPINGS!$A$1:$C$24, 3, FALSE), 1))</f>
        <v/>
      </c>
      <c r="P6" s="4" t="str">
        <f t="shared" si="0"/>
        <v/>
      </c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3"/>
      <c r="AO6" s="4">
        <f>SUMIF(ANALISIS!A:A, A6, INDEX(ANALISIS!A:ZZ, 0, MATCH("🔁 UF INDIVIDUAL (AUTO)", ANALISIS!$3:$3, 0)))</f>
        <v>0</v>
      </c>
    </row>
    <row r="7" spans="1:43" ht="19.95" customHeight="1" x14ac:dyDescent="0.25">
      <c r="A7" s="3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 t="str">
        <f>IF(M7="", "", IFERROR(VLOOKUP(IF(ISNUMBER(M7),TEXT(M7,"0"),M7), _MAPPINGS!$A$1:$C$24, 2, FALSE), 1))</f>
        <v/>
      </c>
      <c r="O7" s="4" t="str">
        <f>IF(M7="", "", IFERROR(VLOOKUP(IF(ISNUMBER(M7),TEXT(M7,"0"),M7), _MAPPINGS!$A$1:$C$24, 3, FALSE), 1))</f>
        <v/>
      </c>
      <c r="P7" s="4" t="str">
        <f t="shared" si="0"/>
        <v/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3"/>
      <c r="AO7" s="4">
        <f>SUMIF(ANALISIS!A:A, A7, INDEX(ANALISIS!A:ZZ, 0, MATCH("🔁 UF INDIVIDUAL (AUTO)", ANALISIS!$3:$3, 0)))</f>
        <v>0</v>
      </c>
    </row>
    <row r="8" spans="1:43" ht="19.95" customHeight="1" x14ac:dyDescent="0.25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 t="str">
        <f>IF(M8="", "", IFERROR(VLOOKUP(IF(ISNUMBER(M8),TEXT(M8,"0"),M8), _MAPPINGS!$A$1:$C$24, 2, FALSE), 1))</f>
        <v/>
      </c>
      <c r="O8" s="4" t="str">
        <f>IF(M8="", "", IFERROR(VLOOKUP(IF(ISNUMBER(M8),TEXT(M8,"0"),M8), _MAPPINGS!$A$1:$C$24, 3, FALSE), 1))</f>
        <v/>
      </c>
      <c r="P8" s="4" t="str">
        <f t="shared" si="0"/>
        <v/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3"/>
      <c r="AO8" s="4">
        <f>SUMIF(ANALISIS!A:A, A8, INDEX(ANALISIS!A:ZZ, 0, MATCH("🔁 UF INDIVIDUAL (AUTO)", ANALISIS!$3:$3, 0)))</f>
        <v>0</v>
      </c>
    </row>
    <row r="9" spans="1:43" ht="19.95" customHeight="1" x14ac:dyDescent="0.25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 t="str">
        <f>IF(M9="", "", IFERROR(VLOOKUP(IF(ISNUMBER(M9),TEXT(M9,"0"),M9), _MAPPINGS!$A$1:$C$24, 2, FALSE), 1))</f>
        <v/>
      </c>
      <c r="O9" s="4" t="str">
        <f>IF(M9="", "", IFERROR(VLOOKUP(IF(ISNUMBER(M9),TEXT(M9,"0"),M9), _MAPPINGS!$A$1:$C$24, 3, FALSE), 1))</f>
        <v/>
      </c>
      <c r="P9" s="4" t="str">
        <f t="shared" si="0"/>
        <v/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3"/>
      <c r="AO9" s="4">
        <f>SUMIF(ANALISIS!A:A, A9, INDEX(ANALISIS!A:ZZ, 0, MATCH("🔁 UF INDIVIDUAL (AUTO)", ANALISIS!$3:$3, 0)))</f>
        <v>0</v>
      </c>
    </row>
    <row r="10" spans="1:43" ht="19.95" customHeight="1" x14ac:dyDescent="0.25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 t="str">
        <f>IF(M10="", "", IFERROR(VLOOKUP(IF(ISNUMBER(M10),TEXT(M10,"0"),M10), _MAPPINGS!$A$1:$C$24, 2, FALSE), 1))</f>
        <v/>
      </c>
      <c r="O10" s="4" t="str">
        <f>IF(M10="", "", IFERROR(VLOOKUP(IF(ISNUMBER(M10),TEXT(M10,"0"),M10), _MAPPINGS!$A$1:$C$24, 3, FALSE), 1))</f>
        <v/>
      </c>
      <c r="P10" s="4" t="str">
        <f t="shared" si="0"/>
        <v/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3"/>
      <c r="AO10" s="4">
        <f>SUMIF(ANALISIS!A:A, A10, INDEX(ANALISIS!A:ZZ, 0, MATCH("🔁 UF INDIVIDUAL (AUTO)", ANALISIS!$3:$3, 0)))</f>
        <v>0</v>
      </c>
    </row>
    <row r="11" spans="1:43" ht="19.95" customHeight="1" x14ac:dyDescent="0.25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 t="str">
        <f>IF(M11="", "", IFERROR(VLOOKUP(IF(ISNUMBER(M11),TEXT(M11,"0"),M11), _MAPPINGS!$A$1:$C$24, 2, FALSE), 1))</f>
        <v/>
      </c>
      <c r="O11" s="4" t="str">
        <f>IF(M11="", "", IFERROR(VLOOKUP(IF(ISNUMBER(M11),TEXT(M11,"0"),M11), _MAPPINGS!$A$1:$C$24, 3, FALSE), 1))</f>
        <v/>
      </c>
      <c r="P11" s="4" t="str">
        <f t="shared" si="0"/>
        <v/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3"/>
      <c r="AO11" s="4">
        <f>SUMIF(ANALISIS!A:A, A11, INDEX(ANALISIS!A:ZZ, 0, MATCH("🔁 UF INDIVIDUAL (AUTO)", ANALISIS!$3:$3, 0)))</f>
        <v>0</v>
      </c>
    </row>
    <row r="12" spans="1:43" ht="19.95" customHeight="1" x14ac:dyDescent="0.25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 t="str">
        <f>IF(M12="", "", IFERROR(VLOOKUP(IF(ISNUMBER(M12),TEXT(M12,"0"),M12), _MAPPINGS!$A$1:$C$24, 2, FALSE), 1))</f>
        <v/>
      </c>
      <c r="O12" s="4" t="str">
        <f>IF(M12="", "", IFERROR(VLOOKUP(IF(ISNUMBER(M12),TEXT(M12,"0"),M12), _MAPPINGS!$A$1:$C$24, 3, FALSE), 1))</f>
        <v/>
      </c>
      <c r="P12" s="4" t="str">
        <f t="shared" si="0"/>
        <v/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3"/>
      <c r="AO12" s="4">
        <f>SUMIF(ANALISIS!A:A, A12, INDEX(ANALISIS!A:ZZ, 0, MATCH("🔁 UF INDIVIDUAL (AUTO)", ANALISIS!$3:$3, 0)))</f>
        <v>0</v>
      </c>
    </row>
    <row r="13" spans="1:43" ht="19.95" customHeight="1" x14ac:dyDescent="0.25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 t="str">
        <f>IF(M13="", "", IFERROR(VLOOKUP(IF(ISNUMBER(M13),TEXT(M13,"0"),M13), _MAPPINGS!$A$1:$C$24, 2, FALSE), 1))</f>
        <v/>
      </c>
      <c r="O13" s="4" t="str">
        <f>IF(M13="", "", IFERROR(VLOOKUP(IF(ISNUMBER(M13),TEXT(M13,"0"),M13), _MAPPINGS!$A$1:$C$24, 3, FALSE), 1))</f>
        <v/>
      </c>
      <c r="P13" s="4" t="str">
        <f t="shared" si="0"/>
        <v/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3"/>
      <c r="AO13" s="4">
        <f>SUMIF(ANALISIS!A:A, A13, INDEX(ANALISIS!A:ZZ, 0, MATCH("🔁 UF INDIVIDUAL (AUTO)", ANALISIS!$3:$3, 0)))</f>
        <v>0</v>
      </c>
    </row>
    <row r="14" spans="1:43" ht="19.95" customHeight="1" x14ac:dyDescent="0.25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 t="str">
        <f>IF(M14="", "", IFERROR(VLOOKUP(IF(ISNUMBER(M14),TEXT(M14,"0"),M14), _MAPPINGS!$A$1:$C$24, 2, FALSE), 1))</f>
        <v/>
      </c>
      <c r="O14" s="4" t="str">
        <f>IF(M14="", "", IFERROR(VLOOKUP(IF(ISNUMBER(M14),TEXT(M14,"0"),M14), _MAPPINGS!$A$1:$C$24, 3, FALSE), 1))</f>
        <v/>
      </c>
      <c r="P14" s="4" t="str">
        <f t="shared" si="0"/>
        <v/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3"/>
      <c r="AO14" s="4">
        <f>SUMIF(ANALISIS!A:A, A14, INDEX(ANALISIS!A:ZZ, 0, MATCH("🔁 UF INDIVIDUAL (AUTO)", ANALISIS!$3:$3, 0)))</f>
        <v>0</v>
      </c>
    </row>
    <row r="15" spans="1:43" ht="19.95" customHeight="1" x14ac:dyDescent="0.25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 t="str">
        <f>IF(M15="", "", IFERROR(VLOOKUP(IF(ISNUMBER(M15),TEXT(M15,"0"),M15), _MAPPINGS!$A$1:$C$24, 2, FALSE), 1))</f>
        <v/>
      </c>
      <c r="O15" s="4" t="str">
        <f>IF(M15="", "", IFERROR(VLOOKUP(IF(ISNUMBER(M15),TEXT(M15,"0"),M15), _MAPPINGS!$A$1:$C$24, 3, FALSE), 1))</f>
        <v/>
      </c>
      <c r="P15" s="4" t="str">
        <f t="shared" si="0"/>
        <v/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3"/>
      <c r="AO15" s="4">
        <f>SUMIF(ANALISIS!A:A, A15, INDEX(ANALISIS!A:ZZ, 0, MATCH("🔁 UF INDIVIDUAL (AUTO)", ANALISIS!$3:$3, 0)))</f>
        <v>0</v>
      </c>
    </row>
    <row r="16" spans="1:43" ht="19.95" customHeight="1" x14ac:dyDescent="0.25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 t="str">
        <f>IF(M16="", "", IFERROR(VLOOKUP(IF(ISNUMBER(M16),TEXT(M16,"0"),M16), _MAPPINGS!$A$1:$C$24, 2, FALSE), 1))</f>
        <v/>
      </c>
      <c r="O16" s="4" t="str">
        <f>IF(M16="", "", IFERROR(VLOOKUP(IF(ISNUMBER(M16),TEXT(M16,"0"),M16), _MAPPINGS!$A$1:$C$24, 3, FALSE), 1))</f>
        <v/>
      </c>
      <c r="P16" s="4" t="str">
        <f t="shared" si="0"/>
        <v/>
      </c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3"/>
      <c r="AO16" s="4">
        <f>SUMIF(ANALISIS!A:A, A16, INDEX(ANALISIS!A:ZZ, 0, MATCH("🔁 UF INDIVIDUAL (AUTO)", ANALISIS!$3:$3, 0)))</f>
        <v>0</v>
      </c>
    </row>
    <row r="17" spans="1:41" ht="19.95" customHeight="1" x14ac:dyDescent="0.25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 t="str">
        <f>IF(M17="", "", IFERROR(VLOOKUP(IF(ISNUMBER(M17),TEXT(M17,"0"),M17), _MAPPINGS!$A$1:$C$24, 2, FALSE), 1))</f>
        <v/>
      </c>
      <c r="O17" s="4" t="str">
        <f>IF(M17="", "", IFERROR(VLOOKUP(IF(ISNUMBER(M17),TEXT(M17,"0"),M17), _MAPPINGS!$A$1:$C$24, 3, FALSE), 1))</f>
        <v/>
      </c>
      <c r="P17" s="4" t="str">
        <f t="shared" si="0"/>
        <v/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3"/>
      <c r="AO17" s="4">
        <f>SUMIF(ANALISIS!A:A, A17, INDEX(ANALISIS!A:ZZ, 0, MATCH("🔁 UF INDIVIDUAL (AUTO)", ANALISIS!$3:$3, 0)))</f>
        <v>0</v>
      </c>
    </row>
    <row r="18" spans="1:41" ht="19.95" customHeight="1" x14ac:dyDescent="0.25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 t="str">
        <f>IF(M18="", "", IFERROR(VLOOKUP(IF(ISNUMBER(M18),TEXT(M18,"0"),M18), _MAPPINGS!$A$1:$C$24, 2, FALSE), 1))</f>
        <v/>
      </c>
      <c r="O18" s="4" t="str">
        <f>IF(M18="", "", IFERROR(VLOOKUP(IF(ISNUMBER(M18),TEXT(M18,"0"),M18), _MAPPINGS!$A$1:$C$24, 3, FALSE), 1))</f>
        <v/>
      </c>
      <c r="P18" s="4" t="str">
        <f t="shared" si="0"/>
        <v/>
      </c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3"/>
      <c r="AO18" s="4">
        <f>SUMIF(ANALISIS!A:A, A18, INDEX(ANALISIS!A:ZZ, 0, MATCH("🔁 UF INDIVIDUAL (AUTO)", ANALISIS!$3:$3, 0)))</f>
        <v>0</v>
      </c>
    </row>
    <row r="19" spans="1:41" ht="19.95" customHeight="1" x14ac:dyDescent="0.25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 t="str">
        <f>IF(M19="", "", IFERROR(VLOOKUP(IF(ISNUMBER(M19),TEXT(M19,"0"),M19), _MAPPINGS!$A$1:$C$24, 2, FALSE), 1))</f>
        <v/>
      </c>
      <c r="O19" s="4" t="str">
        <f>IF(M19="", "", IFERROR(VLOOKUP(IF(ISNUMBER(M19),TEXT(M19,"0"),M19), _MAPPINGS!$A$1:$C$24, 3, FALSE), 1))</f>
        <v/>
      </c>
      <c r="P19" s="4" t="str">
        <f t="shared" si="0"/>
        <v/>
      </c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3"/>
      <c r="AO19" s="4">
        <f>SUMIF(ANALISIS!A:A, A19, INDEX(ANALISIS!A:ZZ, 0, MATCH("🔁 UF INDIVIDUAL (AUTO)", ANALISIS!$3:$3, 0)))</f>
        <v>0</v>
      </c>
    </row>
    <row r="20" spans="1:41" ht="19.95" customHeight="1" x14ac:dyDescent="0.25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 t="str">
        <f>IF(M20="", "", IFERROR(VLOOKUP(IF(ISNUMBER(M20),TEXT(M20,"0"),M20), _MAPPINGS!$A$1:$C$24, 2, FALSE), 1))</f>
        <v/>
      </c>
      <c r="O20" s="4" t="str">
        <f>IF(M20="", "", IFERROR(VLOOKUP(IF(ISNUMBER(M20),TEXT(M20,"0"),M20), _MAPPINGS!$A$1:$C$24, 3, FALSE), 1))</f>
        <v/>
      </c>
      <c r="P20" s="4" t="str">
        <f t="shared" si="0"/>
        <v/>
      </c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3"/>
      <c r="AO20" s="4">
        <f>SUMIF(ANALISIS!A:A, A20, INDEX(ANALISIS!A:ZZ, 0, MATCH("🔁 UF INDIVIDUAL (AUTO)", ANALISIS!$3:$3, 0)))</f>
        <v>0</v>
      </c>
    </row>
    <row r="21" spans="1:41" ht="19.95" customHeight="1" x14ac:dyDescent="0.25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 t="str">
        <f>IF(M21="", "", IFERROR(VLOOKUP(IF(ISNUMBER(M21),TEXT(M21,"0"),M21), _MAPPINGS!$A$1:$C$24, 2, FALSE), 1))</f>
        <v/>
      </c>
      <c r="O21" s="4" t="str">
        <f>IF(M21="", "", IFERROR(VLOOKUP(IF(ISNUMBER(M21),TEXT(M21,"0"),M21), _MAPPINGS!$A$1:$C$24, 3, FALSE), 1))</f>
        <v/>
      </c>
      <c r="P21" s="4" t="str">
        <f t="shared" si="0"/>
        <v/>
      </c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3"/>
      <c r="AO21" s="4">
        <f>SUMIF(ANALISIS!A:A, A21, INDEX(ANALISIS!A:ZZ, 0, MATCH("🔁 UF INDIVIDUAL (AUTO)", ANALISIS!$3:$3, 0)))</f>
        <v>0</v>
      </c>
    </row>
    <row r="22" spans="1:41" ht="19.95" customHeight="1" x14ac:dyDescent="0.25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 t="str">
        <f>IF(M22="", "", IFERROR(VLOOKUP(IF(ISNUMBER(M22),TEXT(M22,"0"),M22), _MAPPINGS!$A$1:$C$24, 2, FALSE), 1))</f>
        <v/>
      </c>
      <c r="O22" s="4" t="str">
        <f>IF(M22="", "", IFERROR(VLOOKUP(IF(ISNUMBER(M22),TEXT(M22,"0"),M22), _MAPPINGS!$A$1:$C$24, 3, FALSE), 1))</f>
        <v/>
      </c>
      <c r="P22" s="4" t="str">
        <f t="shared" si="0"/>
        <v/>
      </c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3"/>
      <c r="AO22" s="4">
        <f>SUMIF(ANALISIS!A:A, A22, INDEX(ANALISIS!A:ZZ, 0, MATCH("🔁 UF INDIVIDUAL (AUTO)", ANALISIS!$3:$3, 0)))</f>
        <v>0</v>
      </c>
    </row>
    <row r="23" spans="1:41" ht="19.95" customHeight="1" x14ac:dyDescent="0.25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 t="str">
        <f>IF(M23="", "", IFERROR(VLOOKUP(IF(ISNUMBER(M23),TEXT(M23,"0"),M23), _MAPPINGS!$A$1:$C$24, 2, FALSE), 1))</f>
        <v/>
      </c>
      <c r="O23" s="4" t="str">
        <f>IF(M23="", "", IFERROR(VLOOKUP(IF(ISNUMBER(M23),TEXT(M23,"0"),M23), _MAPPINGS!$A$1:$C$24, 3, FALSE), 1))</f>
        <v/>
      </c>
      <c r="P23" s="4" t="str">
        <f t="shared" si="0"/>
        <v/>
      </c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3"/>
      <c r="AO23" s="4">
        <f>SUMIF(ANALISIS!A:A, A23, INDEX(ANALISIS!A:ZZ, 0, MATCH("🔁 UF INDIVIDUAL (AUTO)", ANALISIS!$3:$3, 0)))</f>
        <v>0</v>
      </c>
    </row>
    <row r="24" spans="1:41" ht="19.95" customHeight="1" x14ac:dyDescent="0.25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 t="str">
        <f>IF(M24="", "", IFERROR(VLOOKUP(IF(ISNUMBER(M24),TEXT(M24,"0"),M24), _MAPPINGS!$A$1:$C$24, 2, FALSE), 1))</f>
        <v/>
      </c>
      <c r="O24" s="4" t="str">
        <f>IF(M24="", "", IFERROR(VLOOKUP(IF(ISNUMBER(M24),TEXT(M24,"0"),M24), _MAPPINGS!$A$1:$C$24, 3, FALSE), 1))</f>
        <v/>
      </c>
      <c r="P24" s="4" t="str">
        <f t="shared" si="0"/>
        <v/>
      </c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3"/>
      <c r="AO24" s="4">
        <f>SUMIF(ANALISIS!A:A, A24, INDEX(ANALISIS!A:ZZ, 0, MATCH("🔁 UF INDIVIDUAL (AUTO)", ANALISIS!$3:$3, 0)))</f>
        <v>0</v>
      </c>
    </row>
    <row r="25" spans="1:41" ht="19.95" customHeight="1" x14ac:dyDescent="0.25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 t="str">
        <f>IF(M25="", "", IFERROR(VLOOKUP(IF(ISNUMBER(M25),TEXT(M25,"0"),M25), _MAPPINGS!$A$1:$C$24, 2, FALSE), 1))</f>
        <v/>
      </c>
      <c r="O25" s="4" t="str">
        <f>IF(M25="", "", IFERROR(VLOOKUP(IF(ISNUMBER(M25),TEXT(M25,"0"),M25), _MAPPINGS!$A$1:$C$24, 3, FALSE), 1))</f>
        <v/>
      </c>
      <c r="P25" s="4" t="str">
        <f t="shared" si="0"/>
        <v/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3"/>
      <c r="AO25" s="4">
        <f>SUMIF(ANALISIS!A:A, A25, INDEX(ANALISIS!A:ZZ, 0, MATCH("🔁 UF INDIVIDUAL (AUTO)", ANALISIS!$3:$3, 0)))</f>
        <v>0</v>
      </c>
    </row>
    <row r="26" spans="1:41" ht="19.95" customHeight="1" x14ac:dyDescent="0.25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 t="str">
        <f>IF(M26="", "", IFERROR(VLOOKUP(IF(ISNUMBER(M26),TEXT(M26,"0"),M26), _MAPPINGS!$A$1:$C$24, 2, FALSE), 1))</f>
        <v/>
      </c>
      <c r="O26" s="4" t="str">
        <f>IF(M26="", "", IFERROR(VLOOKUP(IF(ISNUMBER(M26),TEXT(M26,"0"),M26), _MAPPINGS!$A$1:$C$24, 3, FALSE), 1))</f>
        <v/>
      </c>
      <c r="P26" s="4" t="str">
        <f t="shared" si="0"/>
        <v/>
      </c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3"/>
      <c r="AO26" s="4">
        <f>SUMIF(ANALISIS!A:A, A26, INDEX(ANALISIS!A:ZZ, 0, MATCH("🔁 UF INDIVIDUAL (AUTO)", ANALISIS!$3:$3, 0)))</f>
        <v>0</v>
      </c>
    </row>
    <row r="27" spans="1:41" ht="19.95" customHeight="1" x14ac:dyDescent="0.3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 t="str">
        <f>IF(M27="", "", IFERROR(VLOOKUP(IF(ISNUMBER(M27),TEXT(M27,"0"),M27), _MAPPINGS!$A$1:$C$24, 2, FALSE), 1))</f>
        <v/>
      </c>
      <c r="O27" s="4" t="str">
        <f>IF(M27="", "", IFERROR(VLOOKUP(IF(ISNUMBER(M27),TEXT(M27,"0"),M27), _MAPPINGS!$A$1:$C$24, 3, FALSE), 1))</f>
        <v/>
      </c>
      <c r="P27" s="4" t="str">
        <f t="shared" si="0"/>
        <v/>
      </c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3"/>
      <c r="AO27" s="4">
        <f>SUMIF(ANALISIS!A:A, A27, INDEX(ANALISIS!A:ZZ, 0, MATCH("🔁 UF INDIVIDUAL (AUTO)", ANALISIS!$3:$3, 0)))</f>
        <v>0</v>
      </c>
    </row>
    <row r="28" spans="1:41" ht="19.95" customHeight="1" x14ac:dyDescent="0.3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 t="str">
        <f>IF(M28="", "", IFERROR(VLOOKUP(IF(ISNUMBER(M28),TEXT(M28,"0"),M28), _MAPPINGS!$A$1:$C$24, 2, FALSE), 1))</f>
        <v/>
      </c>
      <c r="O28" s="4" t="str">
        <f>IF(M28="", "", IFERROR(VLOOKUP(IF(ISNUMBER(M28),TEXT(M28,"0"),M28), _MAPPINGS!$A$1:$C$24, 3, FALSE), 1))</f>
        <v/>
      </c>
      <c r="P28" s="4" t="str">
        <f t="shared" si="0"/>
        <v/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3"/>
      <c r="AO28" s="4">
        <f>SUMIF(ANALISIS!A:A, A28, INDEX(ANALISIS!A:ZZ, 0, MATCH("🔁 UF INDIVIDUAL (AUTO)", ANALISIS!$3:$3, 0)))</f>
        <v>0</v>
      </c>
    </row>
    <row r="29" spans="1:41" ht="19.95" customHeight="1" x14ac:dyDescent="0.3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 t="str">
        <f>IF(M29="", "", IFERROR(VLOOKUP(IF(ISNUMBER(M29),TEXT(M29,"0"),M29), _MAPPINGS!$A$1:$C$24, 2, FALSE), 1))</f>
        <v/>
      </c>
      <c r="O29" s="4" t="str">
        <f>IF(M29="", "", IFERROR(VLOOKUP(IF(ISNUMBER(M29),TEXT(M29,"0"),M29), _MAPPINGS!$A$1:$C$24, 3, FALSE), 1))</f>
        <v/>
      </c>
      <c r="P29" s="4" t="str">
        <f t="shared" si="0"/>
        <v/>
      </c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3"/>
      <c r="AO29" s="4">
        <f>SUMIF(ANALISIS!A:A, A29, INDEX(ANALISIS!A:ZZ, 0, MATCH("🔁 UF INDIVIDUAL (AUTO)", ANALISIS!$3:$3, 0)))</f>
        <v>0</v>
      </c>
    </row>
    <row r="30" spans="1:41" ht="19.95" customHeight="1" x14ac:dyDescent="0.3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 t="str">
        <f>IF(M30="", "", IFERROR(VLOOKUP(IF(ISNUMBER(M30),TEXT(M30,"0"),M30), _MAPPINGS!$A$1:$C$24, 2, FALSE), 1))</f>
        <v/>
      </c>
      <c r="O30" s="4" t="str">
        <f>IF(M30="", "", IFERROR(VLOOKUP(IF(ISNUMBER(M30),TEXT(M30,"0"),M30), _MAPPINGS!$A$1:$C$24, 3, FALSE), 1))</f>
        <v/>
      </c>
      <c r="P30" s="4" t="str">
        <f t="shared" si="0"/>
        <v/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3"/>
      <c r="AO30" s="4">
        <f>SUMIF(ANALISIS!A:A, A30, INDEX(ANALISIS!A:ZZ, 0, MATCH("🔁 UF INDIVIDUAL (AUTO)", ANALISIS!$3:$3, 0)))</f>
        <v>0</v>
      </c>
    </row>
    <row r="31" spans="1:41" ht="19.95" customHeight="1" x14ac:dyDescent="0.3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 t="str">
        <f>IF(M31="", "", IFERROR(VLOOKUP(IF(ISNUMBER(M31),TEXT(M31,"0"),M31), _MAPPINGS!$A$1:$C$24, 2, FALSE), 1))</f>
        <v/>
      </c>
      <c r="O31" s="4" t="str">
        <f>IF(M31="", "", IFERROR(VLOOKUP(IF(ISNUMBER(M31),TEXT(M31,"0"),M31), _MAPPINGS!$A$1:$C$24, 3, FALSE), 1))</f>
        <v/>
      </c>
      <c r="P31" s="4" t="str">
        <f t="shared" si="0"/>
        <v/>
      </c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3"/>
      <c r="AO31" s="4">
        <f>SUMIF(ANALISIS!A:A, A31, INDEX(ANALISIS!A:ZZ, 0, MATCH("🔁 UF INDIVIDUAL (AUTO)", ANALISIS!$3:$3, 0)))</f>
        <v>0</v>
      </c>
    </row>
    <row r="32" spans="1:41" ht="19.95" customHeight="1" x14ac:dyDescent="0.3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 t="str">
        <f>IF(M32="", "", IFERROR(VLOOKUP(IF(ISNUMBER(M32),TEXT(M32,"0"),M32), _MAPPINGS!$A$1:$C$24, 2, FALSE), 1))</f>
        <v/>
      </c>
      <c r="O32" s="4" t="str">
        <f>IF(M32="", "", IFERROR(VLOOKUP(IF(ISNUMBER(M32),TEXT(M32,"0"),M32), _MAPPINGS!$A$1:$C$24, 3, FALSE), 1))</f>
        <v/>
      </c>
      <c r="P32" s="4" t="str">
        <f t="shared" si="0"/>
        <v/>
      </c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3"/>
      <c r="AO32" s="4">
        <f>SUMIF(ANALISIS!A:A, A32, INDEX(ANALISIS!A:ZZ, 0, MATCH("🔁 UF INDIVIDUAL (AUTO)", ANALISIS!$3:$3, 0)))</f>
        <v>0</v>
      </c>
    </row>
    <row r="33" spans="1:41" ht="19.95" customHeight="1" x14ac:dyDescent="0.3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 t="str">
        <f>IF(M33="", "", IFERROR(VLOOKUP(IF(ISNUMBER(M33),TEXT(M33,"0"),M33), _MAPPINGS!$A$1:$C$24, 2, FALSE), 1))</f>
        <v/>
      </c>
      <c r="O33" s="4" t="str">
        <f>IF(M33="", "", IFERROR(VLOOKUP(IF(ISNUMBER(M33),TEXT(M33,"0"),M33), _MAPPINGS!$A$1:$C$24, 3, FALSE), 1))</f>
        <v/>
      </c>
      <c r="P33" s="4" t="str">
        <f t="shared" si="0"/>
        <v/>
      </c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3"/>
      <c r="AO33" s="4">
        <f>SUMIF(ANALISIS!A:A, A33, INDEX(ANALISIS!A:ZZ, 0, MATCH("🔁 UF INDIVIDUAL (AUTO)", ANALISIS!$3:$3, 0)))</f>
        <v>0</v>
      </c>
    </row>
    <row r="34" spans="1:41" ht="19.95" customHeight="1" x14ac:dyDescent="0.3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 t="str">
        <f>IF(M34="", "", IFERROR(VLOOKUP(IF(ISNUMBER(M34),TEXT(M34,"0"),M34), _MAPPINGS!$A$1:$C$24, 2, FALSE), 1))</f>
        <v/>
      </c>
      <c r="O34" s="4" t="str">
        <f>IF(M34="", "", IFERROR(VLOOKUP(IF(ISNUMBER(M34),TEXT(M34,"0"),M34), _MAPPINGS!$A$1:$C$24, 3, FALSE), 1))</f>
        <v/>
      </c>
      <c r="P34" s="4" t="str">
        <f t="shared" si="0"/>
        <v/>
      </c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3"/>
      <c r="AO34" s="4">
        <f>SUMIF(ANALISIS!A:A, A34, INDEX(ANALISIS!A:ZZ, 0, MATCH("🔁 UF INDIVIDUAL (AUTO)", ANALISIS!$3:$3, 0)))</f>
        <v>0</v>
      </c>
    </row>
    <row r="35" spans="1:41" ht="19.95" customHeight="1" x14ac:dyDescent="0.3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 t="str">
        <f>IF(M35="", "", IFERROR(VLOOKUP(IF(ISNUMBER(M35),TEXT(M35,"0"),M35), _MAPPINGS!$A$1:$C$24, 2, FALSE), 1))</f>
        <v/>
      </c>
      <c r="O35" s="4" t="str">
        <f>IF(M35="", "", IFERROR(VLOOKUP(IF(ISNUMBER(M35),TEXT(M35,"0"),M35), _MAPPINGS!$A$1:$C$24, 3, FALSE), 1))</f>
        <v/>
      </c>
      <c r="P35" s="4" t="str">
        <f t="shared" si="0"/>
        <v/>
      </c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3"/>
      <c r="AO35" s="4">
        <f>SUMIF(ANALISIS!A:A, A35, INDEX(ANALISIS!A:ZZ, 0, MATCH("🔁 UF INDIVIDUAL (AUTO)", ANALISIS!$3:$3, 0)))</f>
        <v>0</v>
      </c>
    </row>
    <row r="36" spans="1:41" ht="19.95" customHeight="1" x14ac:dyDescent="0.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 t="str">
        <f>IF(M36="", "", IFERROR(VLOOKUP(IF(ISNUMBER(M36),TEXT(M36,"0"),M36), _MAPPINGS!$A$1:$C$24, 2, FALSE), 1))</f>
        <v/>
      </c>
      <c r="O36" s="4" t="str">
        <f>IF(M36="", "", IFERROR(VLOOKUP(IF(ISNUMBER(M36),TEXT(M36,"0"),M36), _MAPPINGS!$A$1:$C$24, 3, FALSE), 1))</f>
        <v/>
      </c>
      <c r="P36" s="4" t="str">
        <f t="shared" ref="P36:P67" si="1">IF(AND(N36&lt;&gt;"", O36&lt;&gt;""), N36*O36, "")</f>
        <v/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3"/>
      <c r="AO36" s="4">
        <f>SUMIF(ANALISIS!A:A, A36, INDEX(ANALISIS!A:ZZ, 0, MATCH("🔁 UF INDIVIDUAL (AUTO)", ANALISIS!$3:$3, 0)))</f>
        <v>0</v>
      </c>
    </row>
    <row r="37" spans="1:41" ht="19.95" customHeight="1" x14ac:dyDescent="0.3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 t="str">
        <f>IF(M37="", "", IFERROR(VLOOKUP(IF(ISNUMBER(M37),TEXT(M37,"0"),M37), _MAPPINGS!$A$1:$C$24, 2, FALSE), 1))</f>
        <v/>
      </c>
      <c r="O37" s="4" t="str">
        <f>IF(M37="", "", IFERROR(VLOOKUP(IF(ISNUMBER(M37),TEXT(M37,"0"),M37), _MAPPINGS!$A$1:$C$24, 3, FALSE), 1))</f>
        <v/>
      </c>
      <c r="P37" s="4" t="str">
        <f t="shared" si="1"/>
        <v/>
      </c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3"/>
      <c r="AO37" s="4">
        <f>SUMIF(ANALISIS!A:A, A37, INDEX(ANALISIS!A:ZZ, 0, MATCH("🔁 UF INDIVIDUAL (AUTO)", ANALISIS!$3:$3, 0)))</f>
        <v>0</v>
      </c>
    </row>
    <row r="38" spans="1:41" ht="19.95" customHeight="1" x14ac:dyDescent="0.3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 t="str">
        <f>IF(M38="", "", IFERROR(VLOOKUP(IF(ISNUMBER(M38),TEXT(M38,"0"),M38), _MAPPINGS!$A$1:$C$24, 2, FALSE), 1))</f>
        <v/>
      </c>
      <c r="O38" s="4" t="str">
        <f>IF(M38="", "", IFERROR(VLOOKUP(IF(ISNUMBER(M38),TEXT(M38,"0"),M38), _MAPPINGS!$A$1:$C$24, 3, FALSE), 1))</f>
        <v/>
      </c>
      <c r="P38" s="4" t="str">
        <f t="shared" si="1"/>
        <v/>
      </c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3"/>
      <c r="AO38" s="4">
        <f>SUMIF(ANALISIS!A:A, A38, INDEX(ANALISIS!A:ZZ, 0, MATCH("🔁 UF INDIVIDUAL (AUTO)", ANALISIS!$3:$3, 0)))</f>
        <v>0</v>
      </c>
    </row>
    <row r="39" spans="1:41" ht="19.95" customHeight="1" x14ac:dyDescent="0.3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 t="str">
        <f>IF(M39="", "", IFERROR(VLOOKUP(IF(ISNUMBER(M39),TEXT(M39,"0"),M39), _MAPPINGS!$A$1:$C$24, 2, FALSE), 1))</f>
        <v/>
      </c>
      <c r="O39" s="4" t="str">
        <f>IF(M39="", "", IFERROR(VLOOKUP(IF(ISNUMBER(M39),TEXT(M39,"0"),M39), _MAPPINGS!$A$1:$C$24, 3, FALSE), 1))</f>
        <v/>
      </c>
      <c r="P39" s="4" t="str">
        <f t="shared" si="1"/>
        <v/>
      </c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3"/>
      <c r="AO39" s="4">
        <f>SUMIF(ANALISIS!A:A, A39, INDEX(ANALISIS!A:ZZ, 0, MATCH("🔁 UF INDIVIDUAL (AUTO)", ANALISIS!$3:$3, 0)))</f>
        <v>0</v>
      </c>
    </row>
    <row r="40" spans="1:41" ht="19.95" customHeight="1" x14ac:dyDescent="0.3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 t="str">
        <f>IF(M40="", "", IFERROR(VLOOKUP(IF(ISNUMBER(M40),TEXT(M40,"0"),M40), _MAPPINGS!$A$1:$C$24, 2, FALSE), 1))</f>
        <v/>
      </c>
      <c r="O40" s="4" t="str">
        <f>IF(M40="", "", IFERROR(VLOOKUP(IF(ISNUMBER(M40),TEXT(M40,"0"),M40), _MAPPINGS!$A$1:$C$24, 3, FALSE), 1))</f>
        <v/>
      </c>
      <c r="P40" s="4" t="str">
        <f t="shared" si="1"/>
        <v/>
      </c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3"/>
      <c r="AO40" s="4">
        <f>SUMIF(ANALISIS!A:A, A40, INDEX(ANALISIS!A:ZZ, 0, MATCH("🔁 UF INDIVIDUAL (AUTO)", ANALISIS!$3:$3, 0)))</f>
        <v>0</v>
      </c>
    </row>
    <row r="41" spans="1:41" ht="19.95" customHeight="1" x14ac:dyDescent="0.3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 t="str">
        <f>IF(M41="", "", IFERROR(VLOOKUP(IF(ISNUMBER(M41),TEXT(M41,"0"),M41), _MAPPINGS!$A$1:$C$24, 2, FALSE), 1))</f>
        <v/>
      </c>
      <c r="O41" s="4" t="str">
        <f>IF(M41="", "", IFERROR(VLOOKUP(IF(ISNUMBER(M41),TEXT(M41,"0"),M41), _MAPPINGS!$A$1:$C$24, 3, FALSE), 1))</f>
        <v/>
      </c>
      <c r="P41" s="4" t="str">
        <f t="shared" si="1"/>
        <v/>
      </c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3"/>
      <c r="AO41" s="4">
        <f>SUMIF(ANALISIS!A:A, A41, INDEX(ANALISIS!A:ZZ, 0, MATCH("🔁 UF INDIVIDUAL (AUTO)", ANALISIS!$3:$3, 0)))</f>
        <v>0</v>
      </c>
    </row>
    <row r="42" spans="1:41" ht="19.95" customHeight="1" x14ac:dyDescent="0.3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 t="str">
        <f>IF(M42="", "", IFERROR(VLOOKUP(IF(ISNUMBER(M42),TEXT(M42,"0"),M42), _MAPPINGS!$A$1:$C$24, 2, FALSE), 1))</f>
        <v/>
      </c>
      <c r="O42" s="4" t="str">
        <f>IF(M42="", "", IFERROR(VLOOKUP(IF(ISNUMBER(M42),TEXT(M42,"0"),M42), _MAPPINGS!$A$1:$C$24, 3, FALSE), 1))</f>
        <v/>
      </c>
      <c r="P42" s="4" t="str">
        <f t="shared" si="1"/>
        <v/>
      </c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3"/>
      <c r="AO42" s="4">
        <f>SUMIF(ANALISIS!A:A, A42, INDEX(ANALISIS!A:ZZ, 0, MATCH("🔁 UF INDIVIDUAL (AUTO)", ANALISIS!$3:$3, 0)))</f>
        <v>0</v>
      </c>
    </row>
    <row r="43" spans="1:41" ht="19.95" customHeight="1" x14ac:dyDescent="0.3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 t="str">
        <f>IF(M43="", "", IFERROR(VLOOKUP(IF(ISNUMBER(M43),TEXT(M43,"0"),M43), _MAPPINGS!$A$1:$C$24, 2, FALSE), 1))</f>
        <v/>
      </c>
      <c r="O43" s="4" t="str">
        <f>IF(M43="", "", IFERROR(VLOOKUP(IF(ISNUMBER(M43),TEXT(M43,"0"),M43), _MAPPINGS!$A$1:$C$24, 3, FALSE), 1))</f>
        <v/>
      </c>
      <c r="P43" s="4" t="str">
        <f t="shared" si="1"/>
        <v/>
      </c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3"/>
      <c r="AO43" s="4">
        <f>SUMIF(ANALISIS!A:A, A43, INDEX(ANALISIS!A:ZZ, 0, MATCH("🔁 UF INDIVIDUAL (AUTO)", ANALISIS!$3:$3, 0)))</f>
        <v>0</v>
      </c>
    </row>
    <row r="44" spans="1:41" ht="19.95" customHeight="1" x14ac:dyDescent="0.3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 t="str">
        <f>IF(M44="", "", IFERROR(VLOOKUP(IF(ISNUMBER(M44),TEXT(M44,"0"),M44), _MAPPINGS!$A$1:$C$24, 2, FALSE), 1))</f>
        <v/>
      </c>
      <c r="O44" s="4" t="str">
        <f>IF(M44="", "", IFERROR(VLOOKUP(IF(ISNUMBER(M44),TEXT(M44,"0"),M44), _MAPPINGS!$A$1:$C$24, 3, FALSE), 1))</f>
        <v/>
      </c>
      <c r="P44" s="4" t="str">
        <f t="shared" si="1"/>
        <v/>
      </c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3"/>
      <c r="AO44" s="4">
        <f>SUMIF(ANALISIS!A:A, A44, INDEX(ANALISIS!A:ZZ, 0, MATCH("🔁 UF INDIVIDUAL (AUTO)", ANALISIS!$3:$3, 0)))</f>
        <v>0</v>
      </c>
    </row>
    <row r="45" spans="1:41" ht="19.95" customHeight="1" x14ac:dyDescent="0.3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 t="str">
        <f>IF(M45="", "", IFERROR(VLOOKUP(IF(ISNUMBER(M45),TEXT(M45,"0"),M45), _MAPPINGS!$A$1:$C$24, 2, FALSE), 1))</f>
        <v/>
      </c>
      <c r="O45" s="4" t="str">
        <f>IF(M45="", "", IFERROR(VLOOKUP(IF(ISNUMBER(M45),TEXT(M45,"0"),M45), _MAPPINGS!$A$1:$C$24, 3, FALSE), 1))</f>
        <v/>
      </c>
      <c r="P45" s="4" t="str">
        <f t="shared" si="1"/>
        <v/>
      </c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3"/>
      <c r="AO45" s="4">
        <f>SUMIF(ANALISIS!A:A, A45, INDEX(ANALISIS!A:ZZ, 0, MATCH("🔁 UF INDIVIDUAL (AUTO)", ANALISIS!$3:$3, 0)))</f>
        <v>0</v>
      </c>
    </row>
    <row r="46" spans="1:41" ht="19.95" customHeight="1" x14ac:dyDescent="0.3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 t="str">
        <f>IF(M46="", "", IFERROR(VLOOKUP(IF(ISNUMBER(M46),TEXT(M46,"0"),M46), _MAPPINGS!$A$1:$C$24, 2, FALSE), 1))</f>
        <v/>
      </c>
      <c r="O46" s="4" t="str">
        <f>IF(M46="", "", IFERROR(VLOOKUP(IF(ISNUMBER(M46),TEXT(M46,"0"),M46), _MAPPINGS!$A$1:$C$24, 3, FALSE), 1))</f>
        <v/>
      </c>
      <c r="P46" s="4" t="str">
        <f t="shared" si="1"/>
        <v/>
      </c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3"/>
      <c r="AO46" s="4">
        <f>SUMIF(ANALISIS!A:A, A46, INDEX(ANALISIS!A:ZZ, 0, MATCH("🔁 UF INDIVIDUAL (AUTO)", ANALISIS!$3:$3, 0)))</f>
        <v>0</v>
      </c>
    </row>
    <row r="47" spans="1:41" ht="19.95" customHeight="1" x14ac:dyDescent="0.3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 t="str">
        <f>IF(M47="", "", IFERROR(VLOOKUP(IF(ISNUMBER(M47),TEXT(M47,"0"),M47), _MAPPINGS!$A$1:$C$24, 2, FALSE), 1))</f>
        <v/>
      </c>
      <c r="O47" s="4" t="str">
        <f>IF(M47="", "", IFERROR(VLOOKUP(IF(ISNUMBER(M47),TEXT(M47,"0"),M47), _MAPPINGS!$A$1:$C$24, 3, FALSE), 1))</f>
        <v/>
      </c>
      <c r="P47" s="4" t="str">
        <f t="shared" si="1"/>
        <v/>
      </c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3"/>
      <c r="AO47" s="4">
        <f>SUMIF(ANALISIS!A:A, A47, INDEX(ANALISIS!A:ZZ, 0, MATCH("🔁 UF INDIVIDUAL (AUTO)", ANALISIS!$3:$3, 0)))</f>
        <v>0</v>
      </c>
    </row>
    <row r="48" spans="1:41" ht="19.95" customHeight="1" x14ac:dyDescent="0.3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 t="str">
        <f>IF(M48="", "", IFERROR(VLOOKUP(IF(ISNUMBER(M48),TEXT(M48,"0"),M48), _MAPPINGS!$A$1:$C$24, 2, FALSE), 1))</f>
        <v/>
      </c>
      <c r="O48" s="4" t="str">
        <f>IF(M48="", "", IFERROR(VLOOKUP(IF(ISNUMBER(M48),TEXT(M48,"0"),M48), _MAPPINGS!$A$1:$C$24, 3, FALSE), 1))</f>
        <v/>
      </c>
      <c r="P48" s="4" t="str">
        <f t="shared" si="1"/>
        <v/>
      </c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3"/>
      <c r="AO48" s="4">
        <f>SUMIF(ANALISIS!A:A, A48, INDEX(ANALISIS!A:ZZ, 0, MATCH("🔁 UF INDIVIDUAL (AUTO)", ANALISIS!$3:$3, 0)))</f>
        <v>0</v>
      </c>
    </row>
    <row r="49" spans="1:41" ht="19.95" customHeight="1" x14ac:dyDescent="0.3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 t="str">
        <f>IF(M49="", "", IFERROR(VLOOKUP(IF(ISNUMBER(M49),TEXT(M49,"0"),M49), _MAPPINGS!$A$1:$C$24, 2, FALSE), 1))</f>
        <v/>
      </c>
      <c r="O49" s="4" t="str">
        <f>IF(M49="", "", IFERROR(VLOOKUP(IF(ISNUMBER(M49),TEXT(M49,"0"),M49), _MAPPINGS!$A$1:$C$24, 3, FALSE), 1))</f>
        <v/>
      </c>
      <c r="P49" s="4" t="str">
        <f t="shared" si="1"/>
        <v/>
      </c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3"/>
      <c r="AO49" s="4">
        <f>SUMIF(ANALISIS!A:A, A49, INDEX(ANALISIS!A:ZZ, 0, MATCH("🔁 UF INDIVIDUAL (AUTO)", ANALISIS!$3:$3, 0)))</f>
        <v>0</v>
      </c>
    </row>
    <row r="50" spans="1:41" ht="19.95" customHeight="1" x14ac:dyDescent="0.3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 t="str">
        <f>IF(M50="", "", IFERROR(VLOOKUP(IF(ISNUMBER(M50),TEXT(M50,"0"),M50), _MAPPINGS!$A$1:$C$24, 2, FALSE), 1))</f>
        <v/>
      </c>
      <c r="O50" s="4" t="str">
        <f>IF(M50="", "", IFERROR(VLOOKUP(IF(ISNUMBER(M50),TEXT(M50,"0"),M50), _MAPPINGS!$A$1:$C$24, 3, FALSE), 1))</f>
        <v/>
      </c>
      <c r="P50" s="4" t="str">
        <f t="shared" si="1"/>
        <v/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3"/>
      <c r="AO50" s="4">
        <f>SUMIF(ANALISIS!A:A, A50, INDEX(ANALISIS!A:ZZ, 0, MATCH("🔁 UF INDIVIDUAL (AUTO)", ANALISIS!$3:$3, 0)))</f>
        <v>0</v>
      </c>
    </row>
    <row r="51" spans="1:41" ht="19.95" customHeight="1" x14ac:dyDescent="0.3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 t="str">
        <f>IF(M51="", "", IFERROR(VLOOKUP(IF(ISNUMBER(M51),TEXT(M51,"0"),M51), _MAPPINGS!$A$1:$C$24, 2, FALSE), 1))</f>
        <v/>
      </c>
      <c r="O51" s="4" t="str">
        <f>IF(M51="", "", IFERROR(VLOOKUP(IF(ISNUMBER(M51),TEXT(M51,"0"),M51), _MAPPINGS!$A$1:$C$24, 3, FALSE), 1))</f>
        <v/>
      </c>
      <c r="P51" s="4" t="str">
        <f t="shared" si="1"/>
        <v/>
      </c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3"/>
      <c r="AO51" s="4">
        <f>SUMIF(ANALISIS!A:A, A51, INDEX(ANALISIS!A:ZZ, 0, MATCH("🔁 UF INDIVIDUAL (AUTO)", ANALISIS!$3:$3, 0)))</f>
        <v>0</v>
      </c>
    </row>
    <row r="52" spans="1:41" ht="19.95" customHeight="1" x14ac:dyDescent="0.3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 t="str">
        <f>IF(M52="", "", IFERROR(VLOOKUP(IF(ISNUMBER(M52),TEXT(M52,"0"),M52), _MAPPINGS!$A$1:$C$24, 2, FALSE), 1))</f>
        <v/>
      </c>
      <c r="O52" s="4" t="str">
        <f>IF(M52="", "", IFERROR(VLOOKUP(IF(ISNUMBER(M52),TEXT(M52,"0"),M52), _MAPPINGS!$A$1:$C$24, 3, FALSE), 1))</f>
        <v/>
      </c>
      <c r="P52" s="4" t="str">
        <f t="shared" si="1"/>
        <v/>
      </c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3"/>
      <c r="AO52" s="4">
        <f>SUMIF(ANALISIS!A:A, A52, INDEX(ANALISIS!A:ZZ, 0, MATCH("🔁 UF INDIVIDUAL (AUTO)", ANALISIS!$3:$3, 0)))</f>
        <v>0</v>
      </c>
    </row>
    <row r="53" spans="1:41" ht="19.95" customHeight="1" x14ac:dyDescent="0.3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 t="str">
        <f>IF(M53="", "", IFERROR(VLOOKUP(IF(ISNUMBER(M53),TEXT(M53,"0"),M53), _MAPPINGS!$A$1:$C$24, 2, FALSE), 1))</f>
        <v/>
      </c>
      <c r="O53" s="4" t="str">
        <f>IF(M53="", "", IFERROR(VLOOKUP(IF(ISNUMBER(M53),TEXT(M53,"0"),M53), _MAPPINGS!$A$1:$C$24, 3, FALSE), 1))</f>
        <v/>
      </c>
      <c r="P53" s="4" t="str">
        <f t="shared" si="1"/>
        <v/>
      </c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3"/>
      <c r="AO53" s="4">
        <f>SUMIF(ANALISIS!A:A, A53, INDEX(ANALISIS!A:ZZ, 0, MATCH("🔁 UF INDIVIDUAL (AUTO)", ANALISIS!$3:$3, 0)))</f>
        <v>0</v>
      </c>
    </row>
    <row r="54" spans="1:41" ht="19.95" customHeight="1" x14ac:dyDescent="0.3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 t="str">
        <f>IF(M54="", "", IFERROR(VLOOKUP(IF(ISNUMBER(M54),TEXT(M54,"0"),M54), _MAPPINGS!$A$1:$C$24, 2, FALSE), 1))</f>
        <v/>
      </c>
      <c r="O54" s="4" t="str">
        <f>IF(M54="", "", IFERROR(VLOOKUP(IF(ISNUMBER(M54),TEXT(M54,"0"),M54), _MAPPINGS!$A$1:$C$24, 3, FALSE), 1))</f>
        <v/>
      </c>
      <c r="P54" s="4" t="str">
        <f t="shared" si="1"/>
        <v/>
      </c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3"/>
      <c r="AO54" s="4">
        <f>SUMIF(ANALISIS!A:A, A54, INDEX(ANALISIS!A:ZZ, 0, MATCH("🔁 UF INDIVIDUAL (AUTO)", ANALISIS!$3:$3, 0)))</f>
        <v>0</v>
      </c>
    </row>
    <row r="55" spans="1:41" ht="19.95" customHeight="1" x14ac:dyDescent="0.3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 t="str">
        <f>IF(M55="", "", IFERROR(VLOOKUP(IF(ISNUMBER(M55),TEXT(M55,"0"),M55), _MAPPINGS!$A$1:$C$24, 2, FALSE), 1))</f>
        <v/>
      </c>
      <c r="O55" s="4" t="str">
        <f>IF(M55="", "", IFERROR(VLOOKUP(IF(ISNUMBER(M55),TEXT(M55,"0"),M55), _MAPPINGS!$A$1:$C$24, 3, FALSE), 1))</f>
        <v/>
      </c>
      <c r="P55" s="4" t="str">
        <f t="shared" si="1"/>
        <v/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3"/>
      <c r="AO55" s="4">
        <f>SUMIF(ANALISIS!A:A, A55, INDEX(ANALISIS!A:ZZ, 0, MATCH("🔁 UF INDIVIDUAL (AUTO)", ANALISIS!$3:$3, 0)))</f>
        <v>0</v>
      </c>
    </row>
    <row r="56" spans="1:41" ht="19.95" customHeight="1" x14ac:dyDescent="0.3">
      <c r="A56" s="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 t="str">
        <f>IF(M56="", "", IFERROR(VLOOKUP(IF(ISNUMBER(M56),TEXT(M56,"0"),M56), _MAPPINGS!$A$1:$C$24, 2, FALSE), 1))</f>
        <v/>
      </c>
      <c r="O56" s="4" t="str">
        <f>IF(M56="", "", IFERROR(VLOOKUP(IF(ISNUMBER(M56),TEXT(M56,"0"),M56), _MAPPINGS!$A$1:$C$24, 3, FALSE), 1))</f>
        <v/>
      </c>
      <c r="P56" s="4" t="str">
        <f t="shared" si="1"/>
        <v/>
      </c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3"/>
      <c r="AO56" s="4">
        <f>SUMIF(ANALISIS!A:A, A56, INDEX(ANALISIS!A:ZZ, 0, MATCH("🔁 UF INDIVIDUAL (AUTO)", ANALISIS!$3:$3, 0)))</f>
        <v>0</v>
      </c>
    </row>
    <row r="57" spans="1:41" ht="19.95" customHeight="1" x14ac:dyDescent="0.3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 t="str">
        <f>IF(M57="", "", IFERROR(VLOOKUP(IF(ISNUMBER(M57),TEXT(M57,"0"),M57), _MAPPINGS!$A$1:$C$24, 2, FALSE), 1))</f>
        <v/>
      </c>
      <c r="O57" s="4" t="str">
        <f>IF(M57="", "", IFERROR(VLOOKUP(IF(ISNUMBER(M57),TEXT(M57,"0"),M57), _MAPPINGS!$A$1:$C$24, 3, FALSE), 1))</f>
        <v/>
      </c>
      <c r="P57" s="4" t="str">
        <f t="shared" si="1"/>
        <v/>
      </c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3"/>
      <c r="AO57" s="4">
        <f>SUMIF(ANALISIS!A:A, A57, INDEX(ANALISIS!A:ZZ, 0, MATCH("🔁 UF INDIVIDUAL (AUTO)", ANALISIS!$3:$3, 0)))</f>
        <v>0</v>
      </c>
    </row>
    <row r="58" spans="1:41" ht="19.95" customHeight="1" x14ac:dyDescent="0.3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 t="str">
        <f>IF(M58="", "", IFERROR(VLOOKUP(IF(ISNUMBER(M58),TEXT(M58,"0"),M58), _MAPPINGS!$A$1:$C$24, 2, FALSE), 1))</f>
        <v/>
      </c>
      <c r="O58" s="4" t="str">
        <f>IF(M58="", "", IFERROR(VLOOKUP(IF(ISNUMBER(M58),TEXT(M58,"0"),M58), _MAPPINGS!$A$1:$C$24, 3, FALSE), 1))</f>
        <v/>
      </c>
      <c r="P58" s="4" t="str">
        <f t="shared" si="1"/>
        <v/>
      </c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3"/>
      <c r="AO58" s="4">
        <f>SUMIF(ANALISIS!A:A, A58, INDEX(ANALISIS!A:ZZ, 0, MATCH("🔁 UF INDIVIDUAL (AUTO)", ANALISIS!$3:$3, 0)))</f>
        <v>0</v>
      </c>
    </row>
    <row r="59" spans="1:41" ht="19.95" customHeight="1" x14ac:dyDescent="0.3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 t="str">
        <f>IF(M59="", "", IFERROR(VLOOKUP(IF(ISNUMBER(M59),TEXT(M59,"0"),M59), _MAPPINGS!$A$1:$C$24, 2, FALSE), 1))</f>
        <v/>
      </c>
      <c r="O59" s="4" t="str">
        <f>IF(M59="", "", IFERROR(VLOOKUP(IF(ISNUMBER(M59),TEXT(M59,"0"),M59), _MAPPINGS!$A$1:$C$24, 3, FALSE), 1))</f>
        <v/>
      </c>
      <c r="P59" s="4" t="str">
        <f t="shared" si="1"/>
        <v/>
      </c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3"/>
      <c r="AO59" s="4">
        <f>SUMIF(ANALISIS!A:A, A59, INDEX(ANALISIS!A:ZZ, 0, MATCH("🔁 UF INDIVIDUAL (AUTO)", ANALISIS!$3:$3, 0)))</f>
        <v>0</v>
      </c>
    </row>
    <row r="60" spans="1:41" ht="19.95" customHeight="1" x14ac:dyDescent="0.3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 t="str">
        <f>IF(M60="", "", IFERROR(VLOOKUP(IF(ISNUMBER(M60),TEXT(M60,"0"),M60), _MAPPINGS!$A$1:$C$24, 2, FALSE), 1))</f>
        <v/>
      </c>
      <c r="O60" s="4" t="str">
        <f>IF(M60="", "", IFERROR(VLOOKUP(IF(ISNUMBER(M60),TEXT(M60,"0"),M60), _MAPPINGS!$A$1:$C$24, 3, FALSE), 1))</f>
        <v/>
      </c>
      <c r="P60" s="4" t="str">
        <f t="shared" si="1"/>
        <v/>
      </c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3"/>
      <c r="AO60" s="4">
        <f>SUMIF(ANALISIS!A:A, A60, INDEX(ANALISIS!A:ZZ, 0, MATCH("🔁 UF INDIVIDUAL (AUTO)", ANALISIS!$3:$3, 0)))</f>
        <v>0</v>
      </c>
    </row>
    <row r="61" spans="1:41" ht="19.95" customHeight="1" x14ac:dyDescent="0.3">
      <c r="A61" s="3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 t="str">
        <f>IF(M61="", "", IFERROR(VLOOKUP(IF(ISNUMBER(M61),TEXT(M61,"0"),M61), _MAPPINGS!$A$1:$C$24, 2, FALSE), 1))</f>
        <v/>
      </c>
      <c r="O61" s="4" t="str">
        <f>IF(M61="", "", IFERROR(VLOOKUP(IF(ISNUMBER(M61),TEXT(M61,"0"),M61), _MAPPINGS!$A$1:$C$24, 3, FALSE), 1))</f>
        <v/>
      </c>
      <c r="P61" s="4" t="str">
        <f t="shared" si="1"/>
        <v/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3"/>
      <c r="AO61" s="4">
        <f>SUMIF(ANALISIS!A:A, A61, INDEX(ANALISIS!A:ZZ, 0, MATCH("🔁 UF INDIVIDUAL (AUTO)", ANALISIS!$3:$3, 0)))</f>
        <v>0</v>
      </c>
    </row>
    <row r="62" spans="1:41" ht="19.95" customHeight="1" x14ac:dyDescent="0.3">
      <c r="A62" s="3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 t="str">
        <f>IF(M62="", "", IFERROR(VLOOKUP(IF(ISNUMBER(M62),TEXT(M62,"0"),M62), _MAPPINGS!$A$1:$C$24, 2, FALSE), 1))</f>
        <v/>
      </c>
      <c r="O62" s="4" t="str">
        <f>IF(M62="", "", IFERROR(VLOOKUP(IF(ISNUMBER(M62),TEXT(M62,"0"),M62), _MAPPINGS!$A$1:$C$24, 3, FALSE), 1))</f>
        <v/>
      </c>
      <c r="P62" s="4" t="str">
        <f t="shared" si="1"/>
        <v/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3"/>
      <c r="AO62" s="4">
        <f>SUMIF(ANALISIS!A:A, A62, INDEX(ANALISIS!A:ZZ, 0, MATCH("🔁 UF INDIVIDUAL (AUTO)", ANALISIS!$3:$3, 0)))</f>
        <v>0</v>
      </c>
    </row>
    <row r="63" spans="1:41" ht="19.95" customHeight="1" x14ac:dyDescent="0.3">
      <c r="A63" s="3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 t="str">
        <f>IF(M63="", "", IFERROR(VLOOKUP(IF(ISNUMBER(M63),TEXT(M63,"0"),M63), _MAPPINGS!$A$1:$C$24, 2, FALSE), 1))</f>
        <v/>
      </c>
      <c r="O63" s="4" t="str">
        <f>IF(M63="", "", IFERROR(VLOOKUP(IF(ISNUMBER(M63),TEXT(M63,"0"),M63), _MAPPINGS!$A$1:$C$24, 3, FALSE), 1))</f>
        <v/>
      </c>
      <c r="P63" s="4" t="str">
        <f t="shared" si="1"/>
        <v/>
      </c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3"/>
      <c r="AO63" s="4">
        <f>SUMIF(ANALISIS!A:A, A63, INDEX(ANALISIS!A:ZZ, 0, MATCH("🔁 UF INDIVIDUAL (AUTO)", ANALISIS!$3:$3, 0)))</f>
        <v>0</v>
      </c>
    </row>
    <row r="64" spans="1:41" ht="19.95" customHeight="1" x14ac:dyDescent="0.3">
      <c r="A64" s="3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 t="str">
        <f>IF(M64="", "", IFERROR(VLOOKUP(IF(ISNUMBER(M64),TEXT(M64,"0"),M64), _MAPPINGS!$A$1:$C$24, 2, FALSE), 1))</f>
        <v/>
      </c>
      <c r="O64" s="4" t="str">
        <f>IF(M64="", "", IFERROR(VLOOKUP(IF(ISNUMBER(M64),TEXT(M64,"0"),M64), _MAPPINGS!$A$1:$C$24, 3, FALSE), 1))</f>
        <v/>
      </c>
      <c r="P64" s="4" t="str">
        <f t="shared" si="1"/>
        <v/>
      </c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3"/>
      <c r="AO64" s="4">
        <f>SUMIF(ANALISIS!A:A, A64, INDEX(ANALISIS!A:ZZ, 0, MATCH("🔁 UF INDIVIDUAL (AUTO)", ANALISIS!$3:$3, 0)))</f>
        <v>0</v>
      </c>
    </row>
    <row r="65" spans="1:41" ht="19.95" customHeight="1" x14ac:dyDescent="0.3">
      <c r="A65" s="3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 t="str">
        <f>IF(M65="", "", IFERROR(VLOOKUP(IF(ISNUMBER(M65),TEXT(M65,"0"),M65), _MAPPINGS!$A$1:$C$24, 2, FALSE), 1))</f>
        <v/>
      </c>
      <c r="O65" s="4" t="str">
        <f>IF(M65="", "", IFERROR(VLOOKUP(IF(ISNUMBER(M65),TEXT(M65,"0"),M65), _MAPPINGS!$A$1:$C$24, 3, FALSE), 1))</f>
        <v/>
      </c>
      <c r="P65" s="4" t="str">
        <f t="shared" si="1"/>
        <v/>
      </c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3"/>
      <c r="AO65" s="4">
        <f>SUMIF(ANALISIS!A:A, A65, INDEX(ANALISIS!A:ZZ, 0, MATCH("🔁 UF INDIVIDUAL (AUTO)", ANALISIS!$3:$3, 0)))</f>
        <v>0</v>
      </c>
    </row>
    <row r="66" spans="1:41" ht="19.95" customHeight="1" x14ac:dyDescent="0.3">
      <c r="A66" s="3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 t="str">
        <f>IF(M66="", "", IFERROR(VLOOKUP(IF(ISNUMBER(M66),TEXT(M66,"0"),M66), _MAPPINGS!$A$1:$C$24, 2, FALSE), 1))</f>
        <v/>
      </c>
      <c r="O66" s="4" t="str">
        <f>IF(M66="", "", IFERROR(VLOOKUP(IF(ISNUMBER(M66),TEXT(M66,"0"),M66), _MAPPINGS!$A$1:$C$24, 3, FALSE), 1))</f>
        <v/>
      </c>
      <c r="P66" s="4" t="str">
        <f t="shared" si="1"/>
        <v/>
      </c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3"/>
      <c r="AO66" s="4">
        <f>SUMIF(ANALISIS!A:A, A66, INDEX(ANALISIS!A:ZZ, 0, MATCH("🔁 UF INDIVIDUAL (AUTO)", ANALISIS!$3:$3, 0)))</f>
        <v>0</v>
      </c>
    </row>
    <row r="67" spans="1:41" ht="19.95" customHeight="1" x14ac:dyDescent="0.3">
      <c r="A67" s="3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 t="str">
        <f>IF(M67="", "", IFERROR(VLOOKUP(IF(ISNUMBER(M67),TEXT(M67,"0"),M67), _MAPPINGS!$A$1:$C$24, 2, FALSE), 1))</f>
        <v/>
      </c>
      <c r="O67" s="4" t="str">
        <f>IF(M67="", "", IFERROR(VLOOKUP(IF(ISNUMBER(M67),TEXT(M67,"0"),M67), _MAPPINGS!$A$1:$C$24, 3, FALSE), 1))</f>
        <v/>
      </c>
      <c r="P67" s="4" t="str">
        <f t="shared" si="1"/>
        <v/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3"/>
      <c r="AO67" s="4">
        <f>SUMIF(ANALISIS!A:A, A67, INDEX(ANALISIS!A:ZZ, 0, MATCH("🔁 UF INDIVIDUAL (AUTO)", ANALISIS!$3:$3, 0)))</f>
        <v>0</v>
      </c>
    </row>
    <row r="68" spans="1:41" ht="19.95" customHeight="1" x14ac:dyDescent="0.3">
      <c r="A68" s="3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 t="str">
        <f>IF(M68="", "", IFERROR(VLOOKUP(IF(ISNUMBER(M68),TEXT(M68,"0"),M68), _MAPPINGS!$A$1:$C$24, 2, FALSE), 1))</f>
        <v/>
      </c>
      <c r="O68" s="4" t="str">
        <f>IF(M68="", "", IFERROR(VLOOKUP(IF(ISNUMBER(M68),TEXT(M68,"0"),M68), _MAPPINGS!$A$1:$C$24, 3, FALSE), 1))</f>
        <v/>
      </c>
      <c r="P68" s="4" t="str">
        <f t="shared" ref="P68:P99" si="2">IF(AND(N68&lt;&gt;"", O68&lt;&gt;""), N68*O68, "")</f>
        <v/>
      </c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3"/>
      <c r="AO68" s="4">
        <f>SUMIF(ANALISIS!A:A, A68, INDEX(ANALISIS!A:ZZ, 0, MATCH("🔁 UF INDIVIDUAL (AUTO)", ANALISIS!$3:$3, 0)))</f>
        <v>0</v>
      </c>
    </row>
    <row r="69" spans="1:41" ht="19.95" customHeight="1" x14ac:dyDescent="0.3">
      <c r="A69" s="3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 t="str">
        <f>IF(M69="", "", IFERROR(VLOOKUP(IF(ISNUMBER(M69),TEXT(M69,"0"),M69), _MAPPINGS!$A$1:$C$24, 2, FALSE), 1))</f>
        <v/>
      </c>
      <c r="O69" s="4" t="str">
        <f>IF(M69="", "", IFERROR(VLOOKUP(IF(ISNUMBER(M69),TEXT(M69,"0"),M69), _MAPPINGS!$A$1:$C$24, 3, FALSE), 1))</f>
        <v/>
      </c>
      <c r="P69" s="4" t="str">
        <f t="shared" si="2"/>
        <v/>
      </c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3"/>
      <c r="AO69" s="4">
        <f>SUMIF(ANALISIS!A:A, A69, INDEX(ANALISIS!A:ZZ, 0, MATCH("🔁 UF INDIVIDUAL (AUTO)", ANALISIS!$3:$3, 0)))</f>
        <v>0</v>
      </c>
    </row>
    <row r="70" spans="1:41" ht="19.95" customHeight="1" x14ac:dyDescent="0.3">
      <c r="A70" s="3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 t="str">
        <f>IF(M70="", "", IFERROR(VLOOKUP(IF(ISNUMBER(M70),TEXT(M70,"0"),M70), _MAPPINGS!$A$1:$C$24, 2, FALSE), 1))</f>
        <v/>
      </c>
      <c r="O70" s="4" t="str">
        <f>IF(M70="", "", IFERROR(VLOOKUP(IF(ISNUMBER(M70),TEXT(M70,"0"),M70), _MAPPINGS!$A$1:$C$24, 3, FALSE), 1))</f>
        <v/>
      </c>
      <c r="P70" s="4" t="str">
        <f t="shared" si="2"/>
        <v/>
      </c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3"/>
      <c r="AO70" s="4">
        <f>SUMIF(ANALISIS!A:A, A70, INDEX(ANALISIS!A:ZZ, 0, MATCH("🔁 UF INDIVIDUAL (AUTO)", ANALISIS!$3:$3, 0)))</f>
        <v>0</v>
      </c>
    </row>
    <row r="71" spans="1:41" ht="19.95" customHeight="1" x14ac:dyDescent="0.3">
      <c r="A71" s="3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 t="str">
        <f>IF(M71="", "", IFERROR(VLOOKUP(IF(ISNUMBER(M71),TEXT(M71,"0"),M71), _MAPPINGS!$A$1:$C$24, 2, FALSE), 1))</f>
        <v/>
      </c>
      <c r="O71" s="4" t="str">
        <f>IF(M71="", "", IFERROR(VLOOKUP(IF(ISNUMBER(M71),TEXT(M71,"0"),M71), _MAPPINGS!$A$1:$C$24, 3, FALSE), 1))</f>
        <v/>
      </c>
      <c r="P71" s="4" t="str">
        <f t="shared" si="2"/>
        <v/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3"/>
      <c r="AO71" s="4">
        <f>SUMIF(ANALISIS!A:A, A71, INDEX(ANALISIS!A:ZZ, 0, MATCH("🔁 UF INDIVIDUAL (AUTO)", ANALISIS!$3:$3, 0)))</f>
        <v>0</v>
      </c>
    </row>
    <row r="72" spans="1:41" ht="19.95" customHeight="1" x14ac:dyDescent="0.3">
      <c r="A72" s="3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 t="str">
        <f>IF(M72="", "", IFERROR(VLOOKUP(IF(ISNUMBER(M72),TEXT(M72,"0"),M72), _MAPPINGS!$A$1:$C$24, 2, FALSE), 1))</f>
        <v/>
      </c>
      <c r="O72" s="4" t="str">
        <f>IF(M72="", "", IFERROR(VLOOKUP(IF(ISNUMBER(M72),TEXT(M72,"0"),M72), _MAPPINGS!$A$1:$C$24, 3, FALSE), 1))</f>
        <v/>
      </c>
      <c r="P72" s="4" t="str">
        <f t="shared" si="2"/>
        <v/>
      </c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3"/>
      <c r="AO72" s="4">
        <f>SUMIF(ANALISIS!A:A, A72, INDEX(ANALISIS!A:ZZ, 0, MATCH("🔁 UF INDIVIDUAL (AUTO)", ANALISIS!$3:$3, 0)))</f>
        <v>0</v>
      </c>
    </row>
    <row r="73" spans="1:41" ht="19.95" customHeight="1" x14ac:dyDescent="0.3">
      <c r="A73" s="3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 t="str">
        <f>IF(M73="", "", IFERROR(VLOOKUP(IF(ISNUMBER(M73),TEXT(M73,"0"),M73), _MAPPINGS!$A$1:$C$24, 2, FALSE), 1))</f>
        <v/>
      </c>
      <c r="O73" s="4" t="str">
        <f>IF(M73="", "", IFERROR(VLOOKUP(IF(ISNUMBER(M73),TEXT(M73,"0"),M73), _MAPPINGS!$A$1:$C$24, 3, FALSE), 1))</f>
        <v/>
      </c>
      <c r="P73" s="4" t="str">
        <f t="shared" si="2"/>
        <v/>
      </c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3"/>
      <c r="AO73" s="4">
        <f>SUMIF(ANALISIS!A:A, A73, INDEX(ANALISIS!A:ZZ, 0, MATCH("🔁 UF INDIVIDUAL (AUTO)", ANALISIS!$3:$3, 0)))</f>
        <v>0</v>
      </c>
    </row>
    <row r="74" spans="1:41" ht="19.95" customHeight="1" x14ac:dyDescent="0.3">
      <c r="A74" s="3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 t="str">
        <f>IF(M74="", "", IFERROR(VLOOKUP(IF(ISNUMBER(M74),TEXT(M74,"0"),M74), _MAPPINGS!$A$1:$C$24, 2, FALSE), 1))</f>
        <v/>
      </c>
      <c r="O74" s="4" t="str">
        <f>IF(M74="", "", IFERROR(VLOOKUP(IF(ISNUMBER(M74),TEXT(M74,"0"),M74), _MAPPINGS!$A$1:$C$24, 3, FALSE), 1))</f>
        <v/>
      </c>
      <c r="P74" s="4" t="str">
        <f t="shared" si="2"/>
        <v/>
      </c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3"/>
      <c r="AO74" s="4">
        <f>SUMIF(ANALISIS!A:A, A74, INDEX(ANALISIS!A:ZZ, 0, MATCH("🔁 UF INDIVIDUAL (AUTO)", ANALISIS!$3:$3, 0)))</f>
        <v>0</v>
      </c>
    </row>
    <row r="75" spans="1:41" ht="19.95" customHeight="1" x14ac:dyDescent="0.3">
      <c r="A75" s="3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 t="str">
        <f>IF(M75="", "", IFERROR(VLOOKUP(IF(ISNUMBER(M75),TEXT(M75,"0"),M75), _MAPPINGS!$A$1:$C$24, 2, FALSE), 1))</f>
        <v/>
      </c>
      <c r="O75" s="4" t="str">
        <f>IF(M75="", "", IFERROR(VLOOKUP(IF(ISNUMBER(M75),TEXT(M75,"0"),M75), _MAPPINGS!$A$1:$C$24, 3, FALSE), 1))</f>
        <v/>
      </c>
      <c r="P75" s="4" t="str">
        <f t="shared" si="2"/>
        <v/>
      </c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3"/>
      <c r="AO75" s="4">
        <f>SUMIF(ANALISIS!A:A, A75, INDEX(ANALISIS!A:ZZ, 0, MATCH("🔁 UF INDIVIDUAL (AUTO)", ANALISIS!$3:$3, 0)))</f>
        <v>0</v>
      </c>
    </row>
    <row r="76" spans="1:41" ht="19.95" customHeight="1" x14ac:dyDescent="0.3">
      <c r="A76" s="3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 t="str">
        <f>IF(M76="", "", IFERROR(VLOOKUP(IF(ISNUMBER(M76),TEXT(M76,"0"),M76), _MAPPINGS!$A$1:$C$24, 2, FALSE), 1))</f>
        <v/>
      </c>
      <c r="O76" s="4" t="str">
        <f>IF(M76="", "", IFERROR(VLOOKUP(IF(ISNUMBER(M76),TEXT(M76,"0"),M76), _MAPPINGS!$A$1:$C$24, 3, FALSE), 1))</f>
        <v/>
      </c>
      <c r="P76" s="4" t="str">
        <f t="shared" si="2"/>
        <v/>
      </c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3"/>
      <c r="AO76" s="4">
        <f>SUMIF(ANALISIS!A:A, A76, INDEX(ANALISIS!A:ZZ, 0, MATCH("🔁 UF INDIVIDUAL (AUTO)", ANALISIS!$3:$3, 0)))</f>
        <v>0</v>
      </c>
    </row>
    <row r="77" spans="1:41" ht="19.95" customHeight="1" x14ac:dyDescent="0.3">
      <c r="A77" s="3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 t="str">
        <f>IF(M77="", "", IFERROR(VLOOKUP(IF(ISNUMBER(M77),TEXT(M77,"0"),M77), _MAPPINGS!$A$1:$C$24, 2, FALSE), 1))</f>
        <v/>
      </c>
      <c r="O77" s="4" t="str">
        <f>IF(M77="", "", IFERROR(VLOOKUP(IF(ISNUMBER(M77),TEXT(M77,"0"),M77), _MAPPINGS!$A$1:$C$24, 3, FALSE), 1))</f>
        <v/>
      </c>
      <c r="P77" s="4" t="str">
        <f t="shared" si="2"/>
        <v/>
      </c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3"/>
      <c r="AO77" s="4">
        <f>SUMIF(ANALISIS!A:A, A77, INDEX(ANALISIS!A:ZZ, 0, MATCH("🔁 UF INDIVIDUAL (AUTO)", ANALISIS!$3:$3, 0)))</f>
        <v>0</v>
      </c>
    </row>
    <row r="78" spans="1:41" ht="19.95" customHeight="1" x14ac:dyDescent="0.3">
      <c r="A78" s="3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 t="str">
        <f>IF(M78="", "", IFERROR(VLOOKUP(IF(ISNUMBER(M78),TEXT(M78,"0"),M78), _MAPPINGS!$A$1:$C$24, 2, FALSE), 1))</f>
        <v/>
      </c>
      <c r="O78" s="4" t="str">
        <f>IF(M78="", "", IFERROR(VLOOKUP(IF(ISNUMBER(M78),TEXT(M78,"0"),M78), _MAPPINGS!$A$1:$C$24, 3, FALSE), 1))</f>
        <v/>
      </c>
      <c r="P78" s="4" t="str">
        <f t="shared" si="2"/>
        <v/>
      </c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3"/>
      <c r="AO78" s="4">
        <f>SUMIF(ANALISIS!A:A, A78, INDEX(ANALISIS!A:ZZ, 0, MATCH("🔁 UF INDIVIDUAL (AUTO)", ANALISIS!$3:$3, 0)))</f>
        <v>0</v>
      </c>
    </row>
    <row r="79" spans="1:41" ht="19.95" customHeight="1" x14ac:dyDescent="0.3">
      <c r="A79" s="3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 t="str">
        <f>IF(M79="", "", IFERROR(VLOOKUP(IF(ISNUMBER(M79),TEXT(M79,"0"),M79), _MAPPINGS!$A$1:$C$24, 2, FALSE), 1))</f>
        <v/>
      </c>
      <c r="O79" s="4" t="str">
        <f>IF(M79="", "", IFERROR(VLOOKUP(IF(ISNUMBER(M79),TEXT(M79,"0"),M79), _MAPPINGS!$A$1:$C$24, 3, FALSE), 1))</f>
        <v/>
      </c>
      <c r="P79" s="4" t="str">
        <f t="shared" si="2"/>
        <v/>
      </c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3"/>
      <c r="AO79" s="4">
        <f>SUMIF(ANALISIS!A:A, A79, INDEX(ANALISIS!A:ZZ, 0, MATCH("🔁 UF INDIVIDUAL (AUTO)", ANALISIS!$3:$3, 0)))</f>
        <v>0</v>
      </c>
    </row>
    <row r="80" spans="1:41" ht="19.95" customHeight="1" x14ac:dyDescent="0.3">
      <c r="A80" s="3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 t="str">
        <f>IF(M80="", "", IFERROR(VLOOKUP(IF(ISNUMBER(M80),TEXT(M80,"0"),M80), _MAPPINGS!$A$1:$C$24, 2, FALSE), 1))</f>
        <v/>
      </c>
      <c r="O80" s="4" t="str">
        <f>IF(M80="", "", IFERROR(VLOOKUP(IF(ISNUMBER(M80),TEXT(M80,"0"),M80), _MAPPINGS!$A$1:$C$24, 3, FALSE), 1))</f>
        <v/>
      </c>
      <c r="P80" s="4" t="str">
        <f t="shared" si="2"/>
        <v/>
      </c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3"/>
      <c r="AO80" s="4">
        <f>SUMIF(ANALISIS!A:A, A80, INDEX(ANALISIS!A:ZZ, 0, MATCH("🔁 UF INDIVIDUAL (AUTO)", ANALISIS!$3:$3, 0)))</f>
        <v>0</v>
      </c>
    </row>
    <row r="81" spans="1:41" ht="19.95" customHeight="1" x14ac:dyDescent="0.3">
      <c r="A81" s="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 t="str">
        <f>IF(M81="", "", IFERROR(VLOOKUP(IF(ISNUMBER(M81),TEXT(M81,"0"),M81), _MAPPINGS!$A$1:$C$24, 2, FALSE), 1))</f>
        <v/>
      </c>
      <c r="O81" s="4" t="str">
        <f>IF(M81="", "", IFERROR(VLOOKUP(IF(ISNUMBER(M81),TEXT(M81,"0"),M81), _MAPPINGS!$A$1:$C$24, 3, FALSE), 1))</f>
        <v/>
      </c>
      <c r="P81" s="4" t="str">
        <f t="shared" si="2"/>
        <v/>
      </c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3"/>
      <c r="AO81" s="4">
        <f>SUMIF(ANALISIS!A:A, A81, INDEX(ANALISIS!A:ZZ, 0, MATCH("🔁 UF INDIVIDUAL (AUTO)", ANALISIS!$3:$3, 0)))</f>
        <v>0</v>
      </c>
    </row>
    <row r="82" spans="1:41" ht="19.95" customHeight="1" x14ac:dyDescent="0.3">
      <c r="A82" s="3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 t="str">
        <f>IF(M82="", "", IFERROR(VLOOKUP(IF(ISNUMBER(M82),TEXT(M82,"0"),M82), _MAPPINGS!$A$1:$C$24, 2, FALSE), 1))</f>
        <v/>
      </c>
      <c r="O82" s="4" t="str">
        <f>IF(M82="", "", IFERROR(VLOOKUP(IF(ISNUMBER(M82),TEXT(M82,"0"),M82), _MAPPINGS!$A$1:$C$24, 3, FALSE), 1))</f>
        <v/>
      </c>
      <c r="P82" s="4" t="str">
        <f t="shared" si="2"/>
        <v/>
      </c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3"/>
      <c r="AO82" s="4">
        <f>SUMIF(ANALISIS!A:A, A82, INDEX(ANALISIS!A:ZZ, 0, MATCH("🔁 UF INDIVIDUAL (AUTO)", ANALISIS!$3:$3, 0)))</f>
        <v>0</v>
      </c>
    </row>
    <row r="83" spans="1:41" ht="19.95" customHeight="1" x14ac:dyDescent="0.3">
      <c r="A83" s="3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 t="str">
        <f>IF(M83="", "", IFERROR(VLOOKUP(IF(ISNUMBER(M83),TEXT(M83,"0"),M83), _MAPPINGS!$A$1:$C$24, 2, FALSE), 1))</f>
        <v/>
      </c>
      <c r="O83" s="4" t="str">
        <f>IF(M83="", "", IFERROR(VLOOKUP(IF(ISNUMBER(M83),TEXT(M83,"0"),M83), _MAPPINGS!$A$1:$C$24, 3, FALSE), 1))</f>
        <v/>
      </c>
      <c r="P83" s="4" t="str">
        <f t="shared" si="2"/>
        <v/>
      </c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3"/>
      <c r="AO83" s="4">
        <f>SUMIF(ANALISIS!A:A, A83, INDEX(ANALISIS!A:ZZ, 0, MATCH("🔁 UF INDIVIDUAL (AUTO)", ANALISIS!$3:$3, 0)))</f>
        <v>0</v>
      </c>
    </row>
    <row r="84" spans="1:41" ht="19.95" customHeight="1" x14ac:dyDescent="0.3">
      <c r="A84" s="3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 t="str">
        <f>IF(M84="", "", IFERROR(VLOOKUP(IF(ISNUMBER(M84),TEXT(M84,"0"),M84), _MAPPINGS!$A$1:$C$24, 2, FALSE), 1))</f>
        <v/>
      </c>
      <c r="O84" s="4" t="str">
        <f>IF(M84="", "", IFERROR(VLOOKUP(IF(ISNUMBER(M84),TEXT(M84,"0"),M84), _MAPPINGS!$A$1:$C$24, 3, FALSE), 1))</f>
        <v/>
      </c>
      <c r="P84" s="4" t="str">
        <f t="shared" si="2"/>
        <v/>
      </c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3"/>
      <c r="AO84" s="4">
        <f>SUMIF(ANALISIS!A:A, A84, INDEX(ANALISIS!A:ZZ, 0, MATCH("🔁 UF INDIVIDUAL (AUTO)", ANALISIS!$3:$3, 0)))</f>
        <v>0</v>
      </c>
    </row>
    <row r="85" spans="1:41" ht="19.95" customHeight="1" x14ac:dyDescent="0.3">
      <c r="A85" s="3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 t="str">
        <f>IF(M85="", "", IFERROR(VLOOKUP(IF(ISNUMBER(M85),TEXT(M85,"0"),M85), _MAPPINGS!$A$1:$C$24, 2, FALSE), 1))</f>
        <v/>
      </c>
      <c r="O85" s="4" t="str">
        <f>IF(M85="", "", IFERROR(VLOOKUP(IF(ISNUMBER(M85),TEXT(M85,"0"),M85), _MAPPINGS!$A$1:$C$24, 3, FALSE), 1))</f>
        <v/>
      </c>
      <c r="P85" s="4" t="str">
        <f t="shared" si="2"/>
        <v/>
      </c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3"/>
      <c r="AO85" s="4">
        <f>SUMIF(ANALISIS!A:A, A85, INDEX(ANALISIS!A:ZZ, 0, MATCH("🔁 UF INDIVIDUAL (AUTO)", ANALISIS!$3:$3, 0)))</f>
        <v>0</v>
      </c>
    </row>
    <row r="86" spans="1:41" ht="19.95" customHeight="1" x14ac:dyDescent="0.3">
      <c r="A86" s="3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 t="str">
        <f>IF(M86="", "", IFERROR(VLOOKUP(IF(ISNUMBER(M86),TEXT(M86,"0"),M86), _MAPPINGS!$A$1:$C$24, 2, FALSE), 1))</f>
        <v/>
      </c>
      <c r="O86" s="4" t="str">
        <f>IF(M86="", "", IFERROR(VLOOKUP(IF(ISNUMBER(M86),TEXT(M86,"0"),M86), _MAPPINGS!$A$1:$C$24, 3, FALSE), 1))</f>
        <v/>
      </c>
      <c r="P86" s="4" t="str">
        <f t="shared" si="2"/>
        <v/>
      </c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3"/>
      <c r="AO86" s="4">
        <f>SUMIF(ANALISIS!A:A, A86, INDEX(ANALISIS!A:ZZ, 0, MATCH("🔁 UF INDIVIDUAL (AUTO)", ANALISIS!$3:$3, 0)))</f>
        <v>0</v>
      </c>
    </row>
    <row r="87" spans="1:41" ht="19.95" customHeight="1" x14ac:dyDescent="0.3">
      <c r="A87" s="3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 t="str">
        <f>IF(M87="", "", IFERROR(VLOOKUP(IF(ISNUMBER(M87),TEXT(M87,"0"),M87), _MAPPINGS!$A$1:$C$24, 2, FALSE), 1))</f>
        <v/>
      </c>
      <c r="O87" s="4" t="str">
        <f>IF(M87="", "", IFERROR(VLOOKUP(IF(ISNUMBER(M87),TEXT(M87,"0"),M87), _MAPPINGS!$A$1:$C$24, 3, FALSE), 1))</f>
        <v/>
      </c>
      <c r="P87" s="4" t="str">
        <f t="shared" si="2"/>
        <v/>
      </c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3"/>
      <c r="AO87" s="4">
        <f>SUMIF(ANALISIS!A:A, A87, INDEX(ANALISIS!A:ZZ, 0, MATCH("🔁 UF INDIVIDUAL (AUTO)", ANALISIS!$3:$3, 0)))</f>
        <v>0</v>
      </c>
    </row>
    <row r="88" spans="1:41" ht="19.95" customHeight="1" x14ac:dyDescent="0.3">
      <c r="A88" s="3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 t="str">
        <f>IF(M88="", "", IFERROR(VLOOKUP(IF(ISNUMBER(M88),TEXT(M88,"0"),M88), _MAPPINGS!$A$1:$C$24, 2, FALSE), 1))</f>
        <v/>
      </c>
      <c r="O88" s="4" t="str">
        <f>IF(M88="", "", IFERROR(VLOOKUP(IF(ISNUMBER(M88),TEXT(M88,"0"),M88), _MAPPINGS!$A$1:$C$24, 3, FALSE), 1))</f>
        <v/>
      </c>
      <c r="P88" s="4" t="str">
        <f t="shared" si="2"/>
        <v/>
      </c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3"/>
      <c r="AO88" s="4">
        <f>SUMIF(ANALISIS!A:A, A88, INDEX(ANALISIS!A:ZZ, 0, MATCH("🔁 UF INDIVIDUAL (AUTO)", ANALISIS!$3:$3, 0)))</f>
        <v>0</v>
      </c>
    </row>
    <row r="89" spans="1:41" ht="19.95" customHeight="1" x14ac:dyDescent="0.3">
      <c r="A89" s="3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 t="str">
        <f>IF(M89="", "", IFERROR(VLOOKUP(IF(ISNUMBER(M89),TEXT(M89,"0"),M89), _MAPPINGS!$A$1:$C$24, 2, FALSE), 1))</f>
        <v/>
      </c>
      <c r="O89" s="4" t="str">
        <f>IF(M89="", "", IFERROR(VLOOKUP(IF(ISNUMBER(M89),TEXT(M89,"0"),M89), _MAPPINGS!$A$1:$C$24, 3, FALSE), 1))</f>
        <v/>
      </c>
      <c r="P89" s="4" t="str">
        <f t="shared" si="2"/>
        <v/>
      </c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3"/>
      <c r="AO89" s="4">
        <f>SUMIF(ANALISIS!A:A, A89, INDEX(ANALISIS!A:ZZ, 0, MATCH("🔁 UF INDIVIDUAL (AUTO)", ANALISIS!$3:$3, 0)))</f>
        <v>0</v>
      </c>
    </row>
    <row r="90" spans="1:41" ht="19.95" customHeight="1" x14ac:dyDescent="0.3">
      <c r="A90" s="3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 t="str">
        <f>IF(M90="", "", IFERROR(VLOOKUP(IF(ISNUMBER(M90),TEXT(M90,"0"),M90), _MAPPINGS!$A$1:$C$24, 2, FALSE), 1))</f>
        <v/>
      </c>
      <c r="O90" s="4" t="str">
        <f>IF(M90="", "", IFERROR(VLOOKUP(IF(ISNUMBER(M90),TEXT(M90,"0"),M90), _MAPPINGS!$A$1:$C$24, 3, FALSE), 1))</f>
        <v/>
      </c>
      <c r="P90" s="4" t="str">
        <f t="shared" si="2"/>
        <v/>
      </c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3"/>
      <c r="AO90" s="4">
        <f>SUMIF(ANALISIS!A:A, A90, INDEX(ANALISIS!A:ZZ, 0, MATCH("🔁 UF INDIVIDUAL (AUTO)", ANALISIS!$3:$3, 0)))</f>
        <v>0</v>
      </c>
    </row>
    <row r="91" spans="1:41" ht="19.95" customHeight="1" x14ac:dyDescent="0.3">
      <c r="A91" s="3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 t="str">
        <f>IF(M91="", "", IFERROR(VLOOKUP(IF(ISNUMBER(M91),TEXT(M91,"0"),M91), _MAPPINGS!$A$1:$C$24, 2, FALSE), 1))</f>
        <v/>
      </c>
      <c r="O91" s="4" t="str">
        <f>IF(M91="", "", IFERROR(VLOOKUP(IF(ISNUMBER(M91),TEXT(M91,"0"),M91), _MAPPINGS!$A$1:$C$24, 3, FALSE), 1))</f>
        <v/>
      </c>
      <c r="P91" s="4" t="str">
        <f t="shared" si="2"/>
        <v/>
      </c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3"/>
      <c r="AO91" s="4">
        <f>SUMIF(ANALISIS!A:A, A91, INDEX(ANALISIS!A:ZZ, 0, MATCH("🔁 UF INDIVIDUAL (AUTO)", ANALISIS!$3:$3, 0)))</f>
        <v>0</v>
      </c>
    </row>
    <row r="92" spans="1:41" ht="19.95" customHeight="1" x14ac:dyDescent="0.3">
      <c r="A92" s="3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 t="str">
        <f>IF(M92="", "", IFERROR(VLOOKUP(IF(ISNUMBER(M92),TEXT(M92,"0"),M92), _MAPPINGS!$A$1:$C$24, 2, FALSE), 1))</f>
        <v/>
      </c>
      <c r="O92" s="4" t="str">
        <f>IF(M92="", "", IFERROR(VLOOKUP(IF(ISNUMBER(M92),TEXT(M92,"0"),M92), _MAPPINGS!$A$1:$C$24, 3, FALSE), 1))</f>
        <v/>
      </c>
      <c r="P92" s="4" t="str">
        <f t="shared" si="2"/>
        <v/>
      </c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3"/>
      <c r="AO92" s="4">
        <f>SUMIF(ANALISIS!A:A, A92, INDEX(ANALISIS!A:ZZ, 0, MATCH("🔁 UF INDIVIDUAL (AUTO)", ANALISIS!$3:$3, 0)))</f>
        <v>0</v>
      </c>
    </row>
    <row r="93" spans="1:41" ht="19.95" customHeight="1" x14ac:dyDescent="0.3">
      <c r="A93" s="3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 t="str">
        <f>IF(M93="", "", IFERROR(VLOOKUP(IF(ISNUMBER(M93),TEXT(M93,"0"),M93), _MAPPINGS!$A$1:$C$24, 2, FALSE), 1))</f>
        <v/>
      </c>
      <c r="O93" s="4" t="str">
        <f>IF(M93="", "", IFERROR(VLOOKUP(IF(ISNUMBER(M93),TEXT(M93,"0"),M93), _MAPPINGS!$A$1:$C$24, 3, FALSE), 1))</f>
        <v/>
      </c>
      <c r="P93" s="4" t="str">
        <f t="shared" si="2"/>
        <v/>
      </c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3"/>
      <c r="AO93" s="4">
        <f>SUMIF(ANALISIS!A:A, A93, INDEX(ANALISIS!A:ZZ, 0, MATCH("🔁 UF INDIVIDUAL (AUTO)", ANALISIS!$3:$3, 0)))</f>
        <v>0</v>
      </c>
    </row>
    <row r="94" spans="1:41" ht="19.95" customHeight="1" x14ac:dyDescent="0.3">
      <c r="A94" s="3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 t="str">
        <f>IF(M94="", "", IFERROR(VLOOKUP(IF(ISNUMBER(M94),TEXT(M94,"0"),M94), _MAPPINGS!$A$1:$C$24, 2, FALSE), 1))</f>
        <v/>
      </c>
      <c r="O94" s="4" t="str">
        <f>IF(M94="", "", IFERROR(VLOOKUP(IF(ISNUMBER(M94),TEXT(M94,"0"),M94), _MAPPINGS!$A$1:$C$24, 3, FALSE), 1))</f>
        <v/>
      </c>
      <c r="P94" s="4" t="str">
        <f t="shared" si="2"/>
        <v/>
      </c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3"/>
      <c r="AO94" s="4">
        <f>SUMIF(ANALISIS!A:A, A94, INDEX(ANALISIS!A:ZZ, 0, MATCH("🔁 UF INDIVIDUAL (AUTO)", ANALISIS!$3:$3, 0)))</f>
        <v>0</v>
      </c>
    </row>
    <row r="95" spans="1:41" ht="19.95" customHeight="1" x14ac:dyDescent="0.3">
      <c r="A95" s="3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 t="str">
        <f>IF(M95="", "", IFERROR(VLOOKUP(IF(ISNUMBER(M95),TEXT(M95,"0"),M95), _MAPPINGS!$A$1:$C$24, 2, FALSE), 1))</f>
        <v/>
      </c>
      <c r="O95" s="4" t="str">
        <f>IF(M95="", "", IFERROR(VLOOKUP(IF(ISNUMBER(M95),TEXT(M95,"0"),M95), _MAPPINGS!$A$1:$C$24, 3, FALSE), 1))</f>
        <v/>
      </c>
      <c r="P95" s="4" t="str">
        <f t="shared" si="2"/>
        <v/>
      </c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3"/>
      <c r="AO95" s="4">
        <f>SUMIF(ANALISIS!A:A, A95, INDEX(ANALISIS!A:ZZ, 0, MATCH("🔁 UF INDIVIDUAL (AUTO)", ANALISIS!$3:$3, 0)))</f>
        <v>0</v>
      </c>
    </row>
    <row r="96" spans="1:41" ht="19.95" customHeight="1" x14ac:dyDescent="0.3">
      <c r="A96" s="3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 t="str">
        <f>IF(M96="", "", IFERROR(VLOOKUP(IF(ISNUMBER(M96),TEXT(M96,"0"),M96), _MAPPINGS!$A$1:$C$24, 2, FALSE), 1))</f>
        <v/>
      </c>
      <c r="O96" s="4" t="str">
        <f>IF(M96="", "", IFERROR(VLOOKUP(IF(ISNUMBER(M96),TEXT(M96,"0"),M96), _MAPPINGS!$A$1:$C$24, 3, FALSE), 1))</f>
        <v/>
      </c>
      <c r="P96" s="4" t="str">
        <f t="shared" si="2"/>
        <v/>
      </c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3"/>
      <c r="AO96" s="4">
        <f>SUMIF(ANALISIS!A:A, A96, INDEX(ANALISIS!A:ZZ, 0, MATCH("🔁 UF INDIVIDUAL (AUTO)", ANALISIS!$3:$3, 0)))</f>
        <v>0</v>
      </c>
    </row>
    <row r="97" spans="1:41" ht="19.95" customHeight="1" x14ac:dyDescent="0.3">
      <c r="A97" s="3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 t="str">
        <f>IF(M97="", "", IFERROR(VLOOKUP(IF(ISNUMBER(M97),TEXT(M97,"0"),M97), _MAPPINGS!$A$1:$C$24, 2, FALSE), 1))</f>
        <v/>
      </c>
      <c r="O97" s="4" t="str">
        <f>IF(M97="", "", IFERROR(VLOOKUP(IF(ISNUMBER(M97),TEXT(M97,"0"),M97), _MAPPINGS!$A$1:$C$24, 3, FALSE), 1))</f>
        <v/>
      </c>
      <c r="P97" s="4" t="str">
        <f t="shared" si="2"/>
        <v/>
      </c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3"/>
      <c r="AO97" s="4">
        <f>SUMIF(ANALISIS!A:A, A97, INDEX(ANALISIS!A:ZZ, 0, MATCH("🔁 UF INDIVIDUAL (AUTO)", ANALISIS!$3:$3, 0)))</f>
        <v>0</v>
      </c>
    </row>
    <row r="98" spans="1:41" ht="19.95" customHeight="1" x14ac:dyDescent="0.3">
      <c r="A98" s="3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 t="str">
        <f>IF(M98="", "", IFERROR(VLOOKUP(IF(ISNUMBER(M98),TEXT(M98,"0"),M98), _MAPPINGS!$A$1:$C$24, 2, FALSE), 1))</f>
        <v/>
      </c>
      <c r="O98" s="4" t="str">
        <f>IF(M98="", "", IFERROR(VLOOKUP(IF(ISNUMBER(M98),TEXT(M98,"0"),M98), _MAPPINGS!$A$1:$C$24, 3, FALSE), 1))</f>
        <v/>
      </c>
      <c r="P98" s="4" t="str">
        <f t="shared" si="2"/>
        <v/>
      </c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3"/>
      <c r="AO98" s="4">
        <f>SUMIF(ANALISIS!A:A, A98, INDEX(ANALISIS!A:ZZ, 0, MATCH("🔁 UF INDIVIDUAL (AUTO)", ANALISIS!$3:$3, 0)))</f>
        <v>0</v>
      </c>
    </row>
    <row r="99" spans="1:41" ht="19.95" customHeight="1" x14ac:dyDescent="0.3">
      <c r="A99" s="3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 t="str">
        <f>IF(M99="", "", IFERROR(VLOOKUP(IF(ISNUMBER(M99),TEXT(M99,"0"),M99), _MAPPINGS!$A$1:$C$24, 2, FALSE), 1))</f>
        <v/>
      </c>
      <c r="O99" s="4" t="str">
        <f>IF(M99="", "", IFERROR(VLOOKUP(IF(ISNUMBER(M99),TEXT(M99,"0"),M99), _MAPPINGS!$A$1:$C$24, 3, FALSE), 1))</f>
        <v/>
      </c>
      <c r="P99" s="4" t="str">
        <f t="shared" si="2"/>
        <v/>
      </c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3"/>
      <c r="AO99" s="4">
        <f>SUMIF(ANALISIS!A:A, A99, INDEX(ANALISIS!A:ZZ, 0, MATCH("🔁 UF INDIVIDUAL (AUTO)", ANALISIS!$3:$3, 0)))</f>
        <v>0</v>
      </c>
    </row>
    <row r="100" spans="1:41" ht="19.95" customHeight="1" x14ac:dyDescent="0.3">
      <c r="A100" s="3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 t="str">
        <f>IF(M100="", "", IFERROR(VLOOKUP(IF(ISNUMBER(M100),TEXT(M100,"0"),M100), _MAPPINGS!$A$1:$C$24, 2, FALSE), 1))</f>
        <v/>
      </c>
      <c r="O100" s="4" t="str">
        <f>IF(M100="", "", IFERROR(VLOOKUP(IF(ISNUMBER(M100),TEXT(M100,"0"),M100), _MAPPINGS!$A$1:$C$24, 3, FALSE), 1))</f>
        <v/>
      </c>
      <c r="P100" s="4" t="str">
        <f t="shared" ref="P100:P131" si="3">IF(AND(N100&lt;&gt;"", O100&lt;&gt;""), N100*O100, "")</f>
        <v/>
      </c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3"/>
      <c r="AO100" s="4">
        <f>SUMIF(ANALISIS!A:A, A100, INDEX(ANALISIS!A:ZZ, 0, MATCH("🔁 UF INDIVIDUAL (AUTO)", ANALISIS!$3:$3, 0)))</f>
        <v>0</v>
      </c>
    </row>
    <row r="101" spans="1:41" ht="19.95" customHeight="1" x14ac:dyDescent="0.3">
      <c r="A101" s="3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 t="str">
        <f>IF(M101="", "", IFERROR(VLOOKUP(IF(ISNUMBER(M101),TEXT(M101,"0"),M101), _MAPPINGS!$A$1:$C$24, 2, FALSE), 1))</f>
        <v/>
      </c>
      <c r="O101" s="4" t="str">
        <f>IF(M101="", "", IFERROR(VLOOKUP(IF(ISNUMBER(M101),TEXT(M101,"0"),M101), _MAPPINGS!$A$1:$C$24, 3, FALSE), 1))</f>
        <v/>
      </c>
      <c r="P101" s="4" t="str">
        <f t="shared" si="3"/>
        <v/>
      </c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3"/>
      <c r="AO101" s="4">
        <f>SUMIF(ANALISIS!A:A, A101, INDEX(ANALISIS!A:ZZ, 0, MATCH("🔁 UF INDIVIDUAL (AUTO)", ANALISIS!$3:$3, 0)))</f>
        <v>0</v>
      </c>
    </row>
    <row r="102" spans="1:41" ht="19.95" customHeight="1" x14ac:dyDescent="0.3">
      <c r="A102" s="3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 t="str">
        <f>IF(M102="", "", IFERROR(VLOOKUP(IF(ISNUMBER(M102),TEXT(M102,"0"),M102), _MAPPINGS!$A$1:$C$24, 2, FALSE), 1))</f>
        <v/>
      </c>
      <c r="O102" s="4" t="str">
        <f>IF(M102="", "", IFERROR(VLOOKUP(IF(ISNUMBER(M102),TEXT(M102,"0"),M102), _MAPPINGS!$A$1:$C$24, 3, FALSE), 1))</f>
        <v/>
      </c>
      <c r="P102" s="4" t="str">
        <f t="shared" si="3"/>
        <v/>
      </c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3"/>
      <c r="AO102" s="4">
        <f>SUMIF(ANALISIS!A:A, A102, INDEX(ANALISIS!A:ZZ, 0, MATCH("🔁 UF INDIVIDUAL (AUTO)", ANALISIS!$3:$3, 0)))</f>
        <v>0</v>
      </c>
    </row>
    <row r="103" spans="1:41" ht="19.95" customHeight="1" x14ac:dyDescent="0.3">
      <c r="A103" s="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 t="str">
        <f>IF(M103="", "", IFERROR(VLOOKUP(IF(ISNUMBER(M103),TEXT(M103,"0"),M103), _MAPPINGS!$A$1:$C$24, 2, FALSE), 1))</f>
        <v/>
      </c>
      <c r="O103" s="4" t="str">
        <f>IF(M103="", "", IFERROR(VLOOKUP(IF(ISNUMBER(M103),TEXT(M103,"0"),M103), _MAPPINGS!$A$1:$C$24, 3, FALSE), 1))</f>
        <v/>
      </c>
      <c r="P103" s="4" t="str">
        <f t="shared" si="3"/>
        <v/>
      </c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3"/>
      <c r="AO103" s="4">
        <f>SUMIF(ANALISIS!A:A, A103, INDEX(ANALISIS!A:ZZ, 0, MATCH("🔁 UF INDIVIDUAL (AUTO)", ANALISIS!$3:$3, 0)))</f>
        <v>0</v>
      </c>
    </row>
    <row r="104" spans="1:41" ht="19.95" customHeight="1" x14ac:dyDescent="0.3">
      <c r="A104" s="3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 t="str">
        <f>IF(M104="", "", IFERROR(VLOOKUP(IF(ISNUMBER(M104),TEXT(M104,"0"),M104), _MAPPINGS!$A$1:$C$24, 2, FALSE), 1))</f>
        <v/>
      </c>
      <c r="O104" s="4" t="str">
        <f>IF(M104="", "", IFERROR(VLOOKUP(IF(ISNUMBER(M104),TEXT(M104,"0"),M104), _MAPPINGS!$A$1:$C$24, 3, FALSE), 1))</f>
        <v/>
      </c>
      <c r="P104" s="4" t="str">
        <f t="shared" si="3"/>
        <v/>
      </c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3"/>
      <c r="AO104" s="4">
        <f>SUMIF(ANALISIS!A:A, A104, INDEX(ANALISIS!A:ZZ, 0, MATCH("🔁 UF INDIVIDUAL (AUTO)", ANALISIS!$3:$3, 0)))</f>
        <v>0</v>
      </c>
    </row>
    <row r="105" spans="1:41" x14ac:dyDescent="0.3">
      <c r="N105" s="6" t="str">
        <f>IF(M105="", "", IFERROR(VLOOKUP(IF(ISNUMBER(M105),TEXT(M105,"0"),M105), _MAPPINGS!$A$1:$C$24, 2, FALSE), 1))</f>
        <v/>
      </c>
      <c r="O105" s="6" t="str">
        <f>IF(M105="", "", IFERROR(VLOOKUP(IF(ISNUMBER(M105),TEXT(M105,"0"),M105), _MAPPINGS!$A$1:$C$24, 3, FALSE), 1))</f>
        <v/>
      </c>
      <c r="P105" s="6" t="str">
        <f t="shared" si="3"/>
        <v/>
      </c>
    </row>
    <row r="106" spans="1:41" x14ac:dyDescent="0.3">
      <c r="N106" s="6" t="str">
        <f>IF(M106="", "", IFERROR(VLOOKUP(IF(ISNUMBER(M106),TEXT(M106,"0"),M106), _MAPPINGS!$A$1:$C$24, 2, FALSE), 1))</f>
        <v/>
      </c>
      <c r="O106" s="6" t="str">
        <f>IF(M106="", "", IFERROR(VLOOKUP(IF(ISNUMBER(M106),TEXT(M106,"0"),M106), _MAPPINGS!$A$1:$C$24, 3, FALSE), 1))</f>
        <v/>
      </c>
      <c r="P106" s="6" t="str">
        <f t="shared" si="3"/>
        <v/>
      </c>
    </row>
    <row r="107" spans="1:41" x14ac:dyDescent="0.3">
      <c r="N107" s="6" t="str">
        <f>IF(M107="", "", IFERROR(VLOOKUP(IF(ISNUMBER(M107),TEXT(M107,"0"),M107), _MAPPINGS!$A$1:$C$24, 2, FALSE), 1))</f>
        <v/>
      </c>
      <c r="O107" s="6" t="str">
        <f>IF(M107="", "", IFERROR(VLOOKUP(IF(ISNUMBER(M107),TEXT(M107,"0"),M107), _MAPPINGS!$A$1:$C$24, 3, FALSE), 1))</f>
        <v/>
      </c>
      <c r="P107" s="6" t="str">
        <f t="shared" si="3"/>
        <v/>
      </c>
    </row>
    <row r="108" spans="1:41" x14ac:dyDescent="0.3">
      <c r="N108" s="6" t="str">
        <f>IF(M108="", "", IFERROR(VLOOKUP(IF(ISNUMBER(M108),TEXT(M108,"0"),M108), _MAPPINGS!$A$1:$C$24, 2, FALSE), 1))</f>
        <v/>
      </c>
      <c r="O108" s="6" t="str">
        <f>IF(M108="", "", IFERROR(VLOOKUP(IF(ISNUMBER(M108),TEXT(M108,"0"),M108), _MAPPINGS!$A$1:$C$24, 3, FALSE), 1))</f>
        <v/>
      </c>
      <c r="P108" s="6" t="str">
        <f t="shared" si="3"/>
        <v/>
      </c>
    </row>
    <row r="109" spans="1:41" x14ac:dyDescent="0.3">
      <c r="N109" s="6" t="str">
        <f>IF(M109="", "", IFERROR(VLOOKUP(IF(ISNUMBER(M109),TEXT(M109,"0"),M109), _MAPPINGS!$A$1:$C$24, 2, FALSE), 1))</f>
        <v/>
      </c>
      <c r="O109" s="6" t="str">
        <f>IF(M109="", "", IFERROR(VLOOKUP(IF(ISNUMBER(M109),TEXT(M109,"0"),M109), _MAPPINGS!$A$1:$C$24, 3, FALSE), 1))</f>
        <v/>
      </c>
      <c r="P109" s="6" t="str">
        <f t="shared" si="3"/>
        <v/>
      </c>
    </row>
    <row r="110" spans="1:41" x14ac:dyDescent="0.3">
      <c r="N110" s="6" t="str">
        <f>IF(M110="", "", IFERROR(VLOOKUP(IF(ISNUMBER(M110),TEXT(M110,"0"),M110), _MAPPINGS!$A$1:$C$24, 2, FALSE), 1))</f>
        <v/>
      </c>
      <c r="O110" s="6" t="str">
        <f>IF(M110="", "", IFERROR(VLOOKUP(IF(ISNUMBER(M110),TEXT(M110,"0"),M110), _MAPPINGS!$A$1:$C$24, 3, FALSE), 1))</f>
        <v/>
      </c>
      <c r="P110" s="6" t="str">
        <f t="shared" si="3"/>
        <v/>
      </c>
    </row>
    <row r="111" spans="1:41" x14ac:dyDescent="0.3">
      <c r="N111" s="6" t="str">
        <f>IF(M111="", "", IFERROR(VLOOKUP(IF(ISNUMBER(M111),TEXT(M111,"0"),M111), _MAPPINGS!$A$1:$C$24, 2, FALSE), 1))</f>
        <v/>
      </c>
      <c r="O111" s="6" t="str">
        <f>IF(M111="", "", IFERROR(VLOOKUP(IF(ISNUMBER(M111),TEXT(M111,"0"),M111), _MAPPINGS!$A$1:$C$24, 3, FALSE), 1))</f>
        <v/>
      </c>
      <c r="P111" s="6" t="str">
        <f t="shared" si="3"/>
        <v/>
      </c>
    </row>
    <row r="112" spans="1:41" x14ac:dyDescent="0.3">
      <c r="N112" s="6" t="str">
        <f>IF(M112="", "", IFERROR(VLOOKUP(IF(ISNUMBER(M112),TEXT(M112,"0"),M112), _MAPPINGS!$A$1:$C$24, 2, FALSE), 1))</f>
        <v/>
      </c>
      <c r="O112" s="6" t="str">
        <f>IF(M112="", "", IFERROR(VLOOKUP(IF(ISNUMBER(M112),TEXT(M112,"0"),M112), _MAPPINGS!$A$1:$C$24, 3, FALSE), 1))</f>
        <v/>
      </c>
      <c r="P112" s="6" t="str">
        <f t="shared" si="3"/>
        <v/>
      </c>
    </row>
    <row r="113" spans="14:16" x14ac:dyDescent="0.3">
      <c r="N113" s="6" t="str">
        <f>IF(M113="", "", IFERROR(VLOOKUP(IF(ISNUMBER(M113),TEXT(M113,"0"),M113), _MAPPINGS!$A$1:$C$24, 2, FALSE), 1))</f>
        <v/>
      </c>
      <c r="O113" s="6" t="str">
        <f>IF(M113="", "", IFERROR(VLOOKUP(IF(ISNUMBER(M113),TEXT(M113,"0"),M113), _MAPPINGS!$A$1:$C$24, 3, FALSE), 1))</f>
        <v/>
      </c>
      <c r="P113" s="6" t="str">
        <f t="shared" si="3"/>
        <v/>
      </c>
    </row>
    <row r="114" spans="14:16" x14ac:dyDescent="0.3">
      <c r="N114" s="6" t="str">
        <f>IF(M114="", "", IFERROR(VLOOKUP(IF(ISNUMBER(M114),TEXT(M114,"0"),M114), _MAPPINGS!$A$1:$C$24, 2, FALSE), 1))</f>
        <v/>
      </c>
      <c r="O114" s="6" t="str">
        <f>IF(M114="", "", IFERROR(VLOOKUP(IF(ISNUMBER(M114),TEXT(M114,"0"),M114), _MAPPINGS!$A$1:$C$24, 3, FALSE), 1))</f>
        <v/>
      </c>
      <c r="P114" s="6" t="str">
        <f t="shared" si="3"/>
        <v/>
      </c>
    </row>
    <row r="115" spans="14:16" x14ac:dyDescent="0.3">
      <c r="N115" s="6" t="str">
        <f>IF(M115="", "", IFERROR(VLOOKUP(IF(ISNUMBER(M115),TEXT(M115,"0"),M115), _MAPPINGS!$A$1:$C$24, 2, FALSE), 1))</f>
        <v/>
      </c>
      <c r="O115" s="6" t="str">
        <f>IF(M115="", "", IFERROR(VLOOKUP(IF(ISNUMBER(M115),TEXT(M115,"0"),M115), _MAPPINGS!$A$1:$C$24, 3, FALSE), 1))</f>
        <v/>
      </c>
      <c r="P115" s="6" t="str">
        <f t="shared" si="3"/>
        <v/>
      </c>
    </row>
    <row r="116" spans="14:16" x14ac:dyDescent="0.3">
      <c r="N116" s="6" t="str">
        <f>IF(M116="", "", IFERROR(VLOOKUP(IF(ISNUMBER(M116),TEXT(M116,"0"),M116), _MAPPINGS!$A$1:$C$24, 2, FALSE), 1))</f>
        <v/>
      </c>
      <c r="O116" s="6" t="str">
        <f>IF(M116="", "", IFERROR(VLOOKUP(IF(ISNUMBER(M116),TEXT(M116,"0"),M116), _MAPPINGS!$A$1:$C$24, 3, FALSE), 1))</f>
        <v/>
      </c>
      <c r="P116" s="6" t="str">
        <f t="shared" si="3"/>
        <v/>
      </c>
    </row>
    <row r="117" spans="14:16" x14ac:dyDescent="0.3">
      <c r="N117" s="6" t="str">
        <f>IF(M117="", "", IFERROR(VLOOKUP(IF(ISNUMBER(M117),TEXT(M117,"0"),M117), _MAPPINGS!$A$1:$C$24, 2, FALSE), 1))</f>
        <v/>
      </c>
      <c r="O117" s="6" t="str">
        <f>IF(M117="", "", IFERROR(VLOOKUP(IF(ISNUMBER(M117),TEXT(M117,"0"),M117), _MAPPINGS!$A$1:$C$24, 3, FALSE), 1))</f>
        <v/>
      </c>
      <c r="P117" s="6" t="str">
        <f t="shared" si="3"/>
        <v/>
      </c>
    </row>
    <row r="118" spans="14:16" x14ac:dyDescent="0.3">
      <c r="N118" s="6" t="str">
        <f>IF(M118="", "", IFERROR(VLOOKUP(IF(ISNUMBER(M118),TEXT(M118,"0"),M118), _MAPPINGS!$A$1:$C$24, 2, FALSE), 1))</f>
        <v/>
      </c>
      <c r="O118" s="6" t="str">
        <f>IF(M118="", "", IFERROR(VLOOKUP(IF(ISNUMBER(M118),TEXT(M118,"0"),M118), _MAPPINGS!$A$1:$C$24, 3, FALSE), 1))</f>
        <v/>
      </c>
      <c r="P118" s="6" t="str">
        <f t="shared" si="3"/>
        <v/>
      </c>
    </row>
    <row r="119" spans="14:16" x14ac:dyDescent="0.3">
      <c r="N119" s="6" t="str">
        <f>IF(M119="", "", IFERROR(VLOOKUP(IF(ISNUMBER(M119),TEXT(M119,"0"),M119), _MAPPINGS!$A$1:$C$24, 2, FALSE), 1))</f>
        <v/>
      </c>
      <c r="O119" s="6" t="str">
        <f>IF(M119="", "", IFERROR(VLOOKUP(IF(ISNUMBER(M119),TEXT(M119,"0"),M119), _MAPPINGS!$A$1:$C$24, 3, FALSE), 1))</f>
        <v/>
      </c>
      <c r="P119" s="6" t="str">
        <f t="shared" si="3"/>
        <v/>
      </c>
    </row>
    <row r="120" spans="14:16" x14ac:dyDescent="0.3">
      <c r="N120" s="6" t="str">
        <f>IF(M120="", "", IFERROR(VLOOKUP(IF(ISNUMBER(M120),TEXT(M120,"0"),M120), _MAPPINGS!$A$1:$C$24, 2, FALSE), 1))</f>
        <v/>
      </c>
      <c r="O120" s="6" t="str">
        <f>IF(M120="", "", IFERROR(VLOOKUP(IF(ISNUMBER(M120),TEXT(M120,"0"),M120), _MAPPINGS!$A$1:$C$24, 3, FALSE), 1))</f>
        <v/>
      </c>
      <c r="P120" s="6" t="str">
        <f t="shared" si="3"/>
        <v/>
      </c>
    </row>
    <row r="121" spans="14:16" x14ac:dyDescent="0.3">
      <c r="N121" s="6" t="str">
        <f>IF(M121="", "", IFERROR(VLOOKUP(IF(ISNUMBER(M121),TEXT(M121,"0"),M121), _MAPPINGS!$A$1:$C$24, 2, FALSE), 1))</f>
        <v/>
      </c>
      <c r="O121" s="6" t="str">
        <f>IF(M121="", "", IFERROR(VLOOKUP(IF(ISNUMBER(M121),TEXT(M121,"0"),M121), _MAPPINGS!$A$1:$C$24, 3, FALSE), 1))</f>
        <v/>
      </c>
      <c r="P121" s="6" t="str">
        <f t="shared" si="3"/>
        <v/>
      </c>
    </row>
    <row r="122" spans="14:16" x14ac:dyDescent="0.3">
      <c r="N122" s="6" t="str">
        <f>IF(M122="", "", IFERROR(VLOOKUP(IF(ISNUMBER(M122),TEXT(M122,"0"),M122), _MAPPINGS!$A$1:$C$24, 2, FALSE), 1))</f>
        <v/>
      </c>
      <c r="O122" s="6" t="str">
        <f>IF(M122="", "", IFERROR(VLOOKUP(IF(ISNUMBER(M122),TEXT(M122,"0"),M122), _MAPPINGS!$A$1:$C$24, 3, FALSE), 1))</f>
        <v/>
      </c>
      <c r="P122" s="6" t="str">
        <f t="shared" si="3"/>
        <v/>
      </c>
    </row>
    <row r="123" spans="14:16" x14ac:dyDescent="0.3">
      <c r="N123" s="6" t="str">
        <f>IF(M123="", "", IFERROR(VLOOKUP(IF(ISNUMBER(M123),TEXT(M123,"0"),M123), _MAPPINGS!$A$1:$C$24, 2, FALSE), 1))</f>
        <v/>
      </c>
      <c r="O123" s="6" t="str">
        <f>IF(M123="", "", IFERROR(VLOOKUP(IF(ISNUMBER(M123),TEXT(M123,"0"),M123), _MAPPINGS!$A$1:$C$24, 3, FALSE), 1))</f>
        <v/>
      </c>
      <c r="P123" s="6" t="str">
        <f t="shared" si="3"/>
        <v/>
      </c>
    </row>
    <row r="124" spans="14:16" x14ac:dyDescent="0.3">
      <c r="N124" s="6" t="str">
        <f>IF(M124="", "", IFERROR(VLOOKUP(IF(ISNUMBER(M124),TEXT(M124,"0"),M124), _MAPPINGS!$A$1:$C$24, 2, FALSE), 1))</f>
        <v/>
      </c>
      <c r="O124" s="6" t="str">
        <f>IF(M124="", "", IFERROR(VLOOKUP(IF(ISNUMBER(M124),TEXT(M124,"0"),M124), _MAPPINGS!$A$1:$C$24, 3, FALSE), 1))</f>
        <v/>
      </c>
      <c r="P124" s="6" t="str">
        <f t="shared" si="3"/>
        <v/>
      </c>
    </row>
    <row r="125" spans="14:16" x14ac:dyDescent="0.3">
      <c r="N125" s="6" t="str">
        <f>IF(M125="", "", IFERROR(VLOOKUP(IF(ISNUMBER(M125),TEXT(M125,"0"),M125), _MAPPINGS!$A$1:$C$24, 2, FALSE), 1))</f>
        <v/>
      </c>
      <c r="O125" s="6" t="str">
        <f>IF(M125="", "", IFERROR(VLOOKUP(IF(ISNUMBER(M125),TEXT(M125,"0"),M125), _MAPPINGS!$A$1:$C$24, 3, FALSE), 1))</f>
        <v/>
      </c>
      <c r="P125" s="6" t="str">
        <f t="shared" si="3"/>
        <v/>
      </c>
    </row>
    <row r="126" spans="14:16" x14ac:dyDescent="0.3">
      <c r="N126" s="6" t="str">
        <f>IF(M126="", "", IFERROR(VLOOKUP(IF(ISNUMBER(M126),TEXT(M126,"0"),M126), _MAPPINGS!$A$1:$C$24, 2, FALSE), 1))</f>
        <v/>
      </c>
      <c r="O126" s="6" t="str">
        <f>IF(M126="", "", IFERROR(VLOOKUP(IF(ISNUMBER(M126),TEXT(M126,"0"),M126), _MAPPINGS!$A$1:$C$24, 3, FALSE), 1))</f>
        <v/>
      </c>
      <c r="P126" s="6" t="str">
        <f t="shared" si="3"/>
        <v/>
      </c>
    </row>
    <row r="127" spans="14:16" x14ac:dyDescent="0.3">
      <c r="N127" s="6" t="str">
        <f>IF(M127="", "", IFERROR(VLOOKUP(IF(ISNUMBER(M127),TEXT(M127,"0"),M127), _MAPPINGS!$A$1:$C$24, 2, FALSE), 1))</f>
        <v/>
      </c>
      <c r="O127" s="6" t="str">
        <f>IF(M127="", "", IFERROR(VLOOKUP(IF(ISNUMBER(M127),TEXT(M127,"0"),M127), _MAPPINGS!$A$1:$C$24, 3, FALSE), 1))</f>
        <v/>
      </c>
      <c r="P127" s="6" t="str">
        <f t="shared" si="3"/>
        <v/>
      </c>
    </row>
    <row r="128" spans="14:16" x14ac:dyDescent="0.3">
      <c r="N128" s="6" t="str">
        <f>IF(M128="", "", IFERROR(VLOOKUP(IF(ISNUMBER(M128),TEXT(M128,"0"),M128), _MAPPINGS!$A$1:$C$24, 2, FALSE), 1))</f>
        <v/>
      </c>
      <c r="O128" s="6" t="str">
        <f>IF(M128="", "", IFERROR(VLOOKUP(IF(ISNUMBER(M128),TEXT(M128,"0"),M128), _MAPPINGS!$A$1:$C$24, 3, FALSE), 1))</f>
        <v/>
      </c>
      <c r="P128" s="6" t="str">
        <f t="shared" si="3"/>
        <v/>
      </c>
    </row>
    <row r="129" spans="14:16" x14ac:dyDescent="0.3">
      <c r="N129" s="6" t="str">
        <f>IF(M129="", "", IFERROR(VLOOKUP(IF(ISNUMBER(M129),TEXT(M129,"0"),M129), _MAPPINGS!$A$1:$C$24, 2, FALSE), 1))</f>
        <v/>
      </c>
      <c r="O129" s="6" t="str">
        <f>IF(M129="", "", IFERROR(VLOOKUP(IF(ISNUMBER(M129),TEXT(M129,"0"),M129), _MAPPINGS!$A$1:$C$24, 3, FALSE), 1))</f>
        <v/>
      </c>
      <c r="P129" s="6" t="str">
        <f t="shared" si="3"/>
        <v/>
      </c>
    </row>
    <row r="130" spans="14:16" x14ac:dyDescent="0.3">
      <c r="N130" s="6" t="str">
        <f>IF(M130="", "", IFERROR(VLOOKUP(IF(ISNUMBER(M130),TEXT(M130,"0"),M130), _MAPPINGS!$A$1:$C$24, 2, FALSE), 1))</f>
        <v/>
      </c>
      <c r="O130" s="6" t="str">
        <f>IF(M130="", "", IFERROR(VLOOKUP(IF(ISNUMBER(M130),TEXT(M130,"0"),M130), _MAPPINGS!$A$1:$C$24, 3, FALSE), 1))</f>
        <v/>
      </c>
      <c r="P130" s="6" t="str">
        <f t="shared" si="3"/>
        <v/>
      </c>
    </row>
    <row r="131" spans="14:16" x14ac:dyDescent="0.3">
      <c r="N131" s="6" t="str">
        <f>IF(M131="", "", IFERROR(VLOOKUP(IF(ISNUMBER(M131),TEXT(M131,"0"),M131), _MAPPINGS!$A$1:$C$24, 2, FALSE), 1))</f>
        <v/>
      </c>
      <c r="O131" s="6" t="str">
        <f>IF(M131="", "", IFERROR(VLOOKUP(IF(ISNUMBER(M131),TEXT(M131,"0"),M131), _MAPPINGS!$A$1:$C$24, 3, FALSE), 1))</f>
        <v/>
      </c>
      <c r="P131" s="6" t="str">
        <f t="shared" si="3"/>
        <v/>
      </c>
    </row>
    <row r="132" spans="14:16" x14ac:dyDescent="0.3">
      <c r="N132" s="6" t="str">
        <f>IF(M132="", "", IFERROR(VLOOKUP(IF(ISNUMBER(M132),TEXT(M132,"0"),M132), _MAPPINGS!$A$1:$C$24, 2, FALSE), 1))</f>
        <v/>
      </c>
      <c r="O132" s="6" t="str">
        <f>IF(M132="", "", IFERROR(VLOOKUP(IF(ISNUMBER(M132),TEXT(M132,"0"),M132), _MAPPINGS!$A$1:$C$24, 3, FALSE), 1))</f>
        <v/>
      </c>
      <c r="P132" s="6" t="str">
        <f t="shared" ref="P132:P163" si="4">IF(AND(N132&lt;&gt;"", O132&lt;&gt;""), N132*O132, "")</f>
        <v/>
      </c>
    </row>
    <row r="133" spans="14:16" x14ac:dyDescent="0.3">
      <c r="N133" s="6" t="str">
        <f>IF(M133="", "", IFERROR(VLOOKUP(IF(ISNUMBER(M133),TEXT(M133,"0"),M133), _MAPPINGS!$A$1:$C$24, 2, FALSE), 1))</f>
        <v/>
      </c>
      <c r="O133" s="6" t="str">
        <f>IF(M133="", "", IFERROR(VLOOKUP(IF(ISNUMBER(M133),TEXT(M133,"0"),M133), _MAPPINGS!$A$1:$C$24, 3, FALSE), 1))</f>
        <v/>
      </c>
      <c r="P133" s="6" t="str">
        <f t="shared" si="4"/>
        <v/>
      </c>
    </row>
    <row r="134" spans="14:16" x14ac:dyDescent="0.3">
      <c r="N134" s="6" t="str">
        <f>IF(M134="", "", IFERROR(VLOOKUP(IF(ISNUMBER(M134),TEXT(M134,"0"),M134), _MAPPINGS!$A$1:$C$24, 2, FALSE), 1))</f>
        <v/>
      </c>
      <c r="O134" s="6" t="str">
        <f>IF(M134="", "", IFERROR(VLOOKUP(IF(ISNUMBER(M134),TEXT(M134,"0"),M134), _MAPPINGS!$A$1:$C$24, 3, FALSE), 1))</f>
        <v/>
      </c>
      <c r="P134" s="6" t="str">
        <f t="shared" si="4"/>
        <v/>
      </c>
    </row>
    <row r="135" spans="14:16" x14ac:dyDescent="0.3">
      <c r="N135" s="6" t="str">
        <f>IF(M135="", "", IFERROR(VLOOKUP(IF(ISNUMBER(M135),TEXT(M135,"0"),M135), _MAPPINGS!$A$1:$C$24, 2, FALSE), 1))</f>
        <v/>
      </c>
      <c r="O135" s="6" t="str">
        <f>IF(M135="", "", IFERROR(VLOOKUP(IF(ISNUMBER(M135),TEXT(M135,"0"),M135), _MAPPINGS!$A$1:$C$24, 3, FALSE), 1))</f>
        <v/>
      </c>
      <c r="P135" s="6" t="str">
        <f t="shared" si="4"/>
        <v/>
      </c>
    </row>
    <row r="136" spans="14:16" x14ac:dyDescent="0.3">
      <c r="N136" s="6" t="str">
        <f>IF(M136="", "", IFERROR(VLOOKUP(IF(ISNUMBER(M136),TEXT(M136,"0"),M136), _MAPPINGS!$A$1:$C$24, 2, FALSE), 1))</f>
        <v/>
      </c>
      <c r="O136" s="6" t="str">
        <f>IF(M136="", "", IFERROR(VLOOKUP(IF(ISNUMBER(M136),TEXT(M136,"0"),M136), _MAPPINGS!$A$1:$C$24, 3, FALSE), 1))</f>
        <v/>
      </c>
      <c r="P136" s="6" t="str">
        <f t="shared" si="4"/>
        <v/>
      </c>
    </row>
    <row r="137" spans="14:16" x14ac:dyDescent="0.3">
      <c r="N137" s="6" t="str">
        <f>IF(M137="", "", IFERROR(VLOOKUP(IF(ISNUMBER(M137),TEXT(M137,"0"),M137), _MAPPINGS!$A$1:$C$24, 2, FALSE), 1))</f>
        <v/>
      </c>
      <c r="O137" s="6" t="str">
        <f>IF(M137="", "", IFERROR(VLOOKUP(IF(ISNUMBER(M137),TEXT(M137,"0"),M137), _MAPPINGS!$A$1:$C$24, 3, FALSE), 1))</f>
        <v/>
      </c>
      <c r="P137" s="6" t="str">
        <f t="shared" si="4"/>
        <v/>
      </c>
    </row>
    <row r="138" spans="14:16" x14ac:dyDescent="0.3">
      <c r="N138" s="6" t="str">
        <f>IF(M138="", "", IFERROR(VLOOKUP(IF(ISNUMBER(M138),TEXT(M138,"0"),M138), _MAPPINGS!$A$1:$C$24, 2, FALSE), 1))</f>
        <v/>
      </c>
      <c r="O138" s="6" t="str">
        <f>IF(M138="", "", IFERROR(VLOOKUP(IF(ISNUMBER(M138),TEXT(M138,"0"),M138), _MAPPINGS!$A$1:$C$24, 3, FALSE), 1))</f>
        <v/>
      </c>
      <c r="P138" s="6" t="str">
        <f t="shared" si="4"/>
        <v/>
      </c>
    </row>
    <row r="139" spans="14:16" x14ac:dyDescent="0.3">
      <c r="N139" s="6" t="str">
        <f>IF(M139="", "", IFERROR(VLOOKUP(IF(ISNUMBER(M139),TEXT(M139,"0"),M139), _MAPPINGS!$A$1:$C$24, 2, FALSE), 1))</f>
        <v/>
      </c>
      <c r="O139" s="6" t="str">
        <f>IF(M139="", "", IFERROR(VLOOKUP(IF(ISNUMBER(M139),TEXT(M139,"0"),M139), _MAPPINGS!$A$1:$C$24, 3, FALSE), 1))</f>
        <v/>
      </c>
      <c r="P139" s="6" t="str">
        <f t="shared" si="4"/>
        <v/>
      </c>
    </row>
    <row r="140" spans="14:16" x14ac:dyDescent="0.3">
      <c r="N140" s="6" t="str">
        <f>IF(M140="", "", IFERROR(VLOOKUP(IF(ISNUMBER(M140),TEXT(M140,"0"),M140), _MAPPINGS!$A$1:$C$24, 2, FALSE), 1))</f>
        <v/>
      </c>
      <c r="O140" s="6" t="str">
        <f>IF(M140="", "", IFERROR(VLOOKUP(IF(ISNUMBER(M140),TEXT(M140,"0"),M140), _MAPPINGS!$A$1:$C$24, 3, FALSE), 1))</f>
        <v/>
      </c>
      <c r="P140" s="6" t="str">
        <f t="shared" si="4"/>
        <v/>
      </c>
    </row>
    <row r="141" spans="14:16" x14ac:dyDescent="0.3">
      <c r="N141" s="6" t="str">
        <f>IF(M141="", "", IFERROR(VLOOKUP(IF(ISNUMBER(M141),TEXT(M141,"0"),M141), _MAPPINGS!$A$1:$C$24, 2, FALSE), 1))</f>
        <v/>
      </c>
      <c r="O141" s="6" t="str">
        <f>IF(M141="", "", IFERROR(VLOOKUP(IF(ISNUMBER(M141),TEXT(M141,"0"),M141), _MAPPINGS!$A$1:$C$24, 3, FALSE), 1))</f>
        <v/>
      </c>
      <c r="P141" s="6" t="str">
        <f t="shared" si="4"/>
        <v/>
      </c>
    </row>
    <row r="142" spans="14:16" x14ac:dyDescent="0.3">
      <c r="N142" s="6" t="str">
        <f>IF(M142="", "", IFERROR(VLOOKUP(IF(ISNUMBER(M142),TEXT(M142,"0"),M142), _MAPPINGS!$A$1:$C$24, 2, FALSE), 1))</f>
        <v/>
      </c>
      <c r="O142" s="6" t="str">
        <f>IF(M142="", "", IFERROR(VLOOKUP(IF(ISNUMBER(M142),TEXT(M142,"0"),M142), _MAPPINGS!$A$1:$C$24, 3, FALSE), 1))</f>
        <v/>
      </c>
      <c r="P142" s="6" t="str">
        <f t="shared" si="4"/>
        <v/>
      </c>
    </row>
    <row r="143" spans="14:16" x14ac:dyDescent="0.3">
      <c r="N143" s="6" t="str">
        <f>IF(M143="", "", IFERROR(VLOOKUP(IF(ISNUMBER(M143),TEXT(M143,"0"),M143), _MAPPINGS!$A$1:$C$24, 2, FALSE), 1))</f>
        <v/>
      </c>
      <c r="O143" s="6" t="str">
        <f>IF(M143="", "", IFERROR(VLOOKUP(IF(ISNUMBER(M143),TEXT(M143,"0"),M143), _MAPPINGS!$A$1:$C$24, 3, FALSE), 1))</f>
        <v/>
      </c>
      <c r="P143" s="6" t="str">
        <f t="shared" si="4"/>
        <v/>
      </c>
    </row>
    <row r="144" spans="14:16" x14ac:dyDescent="0.3">
      <c r="N144" s="6" t="str">
        <f>IF(M144="", "", IFERROR(VLOOKUP(IF(ISNUMBER(M144),TEXT(M144,"0"),M144), _MAPPINGS!$A$1:$C$24, 2, FALSE), 1))</f>
        <v/>
      </c>
      <c r="O144" s="6" t="str">
        <f>IF(M144="", "", IFERROR(VLOOKUP(IF(ISNUMBER(M144),TEXT(M144,"0"),M144), _MAPPINGS!$A$1:$C$24, 3, FALSE), 1))</f>
        <v/>
      </c>
      <c r="P144" s="6" t="str">
        <f t="shared" si="4"/>
        <v/>
      </c>
    </row>
    <row r="145" spans="14:16" x14ac:dyDescent="0.3">
      <c r="N145" s="6" t="str">
        <f>IF(M145="", "", IFERROR(VLOOKUP(IF(ISNUMBER(M145),TEXT(M145,"0"),M145), _MAPPINGS!$A$1:$C$24, 2, FALSE), 1))</f>
        <v/>
      </c>
      <c r="O145" s="6" t="str">
        <f>IF(M145="", "", IFERROR(VLOOKUP(IF(ISNUMBER(M145),TEXT(M145,"0"),M145), _MAPPINGS!$A$1:$C$24, 3, FALSE), 1))</f>
        <v/>
      </c>
      <c r="P145" s="6" t="str">
        <f t="shared" si="4"/>
        <v/>
      </c>
    </row>
    <row r="146" spans="14:16" x14ac:dyDescent="0.3">
      <c r="N146" s="6" t="str">
        <f>IF(M146="", "", IFERROR(VLOOKUP(IF(ISNUMBER(M146),TEXT(M146,"0"),M146), _MAPPINGS!$A$1:$C$24, 2, FALSE), 1))</f>
        <v/>
      </c>
      <c r="O146" s="6" t="str">
        <f>IF(M146="", "", IFERROR(VLOOKUP(IF(ISNUMBER(M146),TEXT(M146,"0"),M146), _MAPPINGS!$A$1:$C$24, 3, FALSE), 1))</f>
        <v/>
      </c>
      <c r="P146" s="6" t="str">
        <f t="shared" si="4"/>
        <v/>
      </c>
    </row>
    <row r="147" spans="14:16" x14ac:dyDescent="0.3">
      <c r="N147" s="6" t="str">
        <f>IF(M147="", "", IFERROR(VLOOKUP(IF(ISNUMBER(M147),TEXT(M147,"0"),M147), _MAPPINGS!$A$1:$C$24, 2, FALSE), 1))</f>
        <v/>
      </c>
      <c r="O147" s="6" t="str">
        <f>IF(M147="", "", IFERROR(VLOOKUP(IF(ISNUMBER(M147),TEXT(M147,"0"),M147), _MAPPINGS!$A$1:$C$24, 3, FALSE), 1))</f>
        <v/>
      </c>
      <c r="P147" s="6" t="str">
        <f t="shared" si="4"/>
        <v/>
      </c>
    </row>
    <row r="148" spans="14:16" x14ac:dyDescent="0.3">
      <c r="N148" s="6" t="str">
        <f>IF(M148="", "", IFERROR(VLOOKUP(IF(ISNUMBER(M148),TEXT(M148,"0"),M148), _MAPPINGS!$A$1:$C$24, 2, FALSE), 1))</f>
        <v/>
      </c>
      <c r="O148" s="6" t="str">
        <f>IF(M148="", "", IFERROR(VLOOKUP(IF(ISNUMBER(M148),TEXT(M148,"0"),M148), _MAPPINGS!$A$1:$C$24, 3, FALSE), 1))</f>
        <v/>
      </c>
      <c r="P148" s="6" t="str">
        <f t="shared" si="4"/>
        <v/>
      </c>
    </row>
    <row r="149" spans="14:16" x14ac:dyDescent="0.3">
      <c r="N149" s="6" t="str">
        <f>IF(M149="", "", IFERROR(VLOOKUP(IF(ISNUMBER(M149),TEXT(M149,"0"),M149), _MAPPINGS!$A$1:$C$24, 2, FALSE), 1))</f>
        <v/>
      </c>
      <c r="O149" s="6" t="str">
        <f>IF(M149="", "", IFERROR(VLOOKUP(IF(ISNUMBER(M149),TEXT(M149,"0"),M149), _MAPPINGS!$A$1:$C$24, 3, FALSE), 1))</f>
        <v/>
      </c>
      <c r="P149" s="6" t="str">
        <f t="shared" si="4"/>
        <v/>
      </c>
    </row>
    <row r="150" spans="14:16" x14ac:dyDescent="0.3">
      <c r="N150" s="6" t="str">
        <f>IF(M150="", "", IFERROR(VLOOKUP(IF(ISNUMBER(M150),TEXT(M150,"0"),M150), _MAPPINGS!$A$1:$C$24, 2, FALSE), 1))</f>
        <v/>
      </c>
      <c r="O150" s="6" t="str">
        <f>IF(M150="", "", IFERROR(VLOOKUP(IF(ISNUMBER(M150),TEXT(M150,"0"),M150), _MAPPINGS!$A$1:$C$24, 3, FALSE), 1))</f>
        <v/>
      </c>
      <c r="P150" s="6" t="str">
        <f t="shared" si="4"/>
        <v/>
      </c>
    </row>
    <row r="151" spans="14:16" x14ac:dyDescent="0.3">
      <c r="N151" s="6" t="str">
        <f>IF(M151="", "", IFERROR(VLOOKUP(IF(ISNUMBER(M151),TEXT(M151,"0"),M151), _MAPPINGS!$A$1:$C$24, 2, FALSE), 1))</f>
        <v/>
      </c>
      <c r="O151" s="6" t="str">
        <f>IF(M151="", "", IFERROR(VLOOKUP(IF(ISNUMBER(M151),TEXT(M151,"0"),M151), _MAPPINGS!$A$1:$C$24, 3, FALSE), 1))</f>
        <v/>
      </c>
      <c r="P151" s="6" t="str">
        <f t="shared" si="4"/>
        <v/>
      </c>
    </row>
    <row r="152" spans="14:16" x14ac:dyDescent="0.3">
      <c r="N152" s="6" t="str">
        <f>IF(M152="", "", IFERROR(VLOOKUP(IF(ISNUMBER(M152),TEXT(M152,"0"),M152), _MAPPINGS!$A$1:$C$24, 2, FALSE), 1))</f>
        <v/>
      </c>
      <c r="O152" s="6" t="str">
        <f>IF(M152="", "", IFERROR(VLOOKUP(IF(ISNUMBER(M152),TEXT(M152,"0"),M152), _MAPPINGS!$A$1:$C$24, 3, FALSE), 1))</f>
        <v/>
      </c>
      <c r="P152" s="6" t="str">
        <f t="shared" si="4"/>
        <v/>
      </c>
    </row>
    <row r="153" spans="14:16" x14ac:dyDescent="0.3">
      <c r="N153" s="6" t="str">
        <f>IF(M153="", "", IFERROR(VLOOKUP(IF(ISNUMBER(M153),TEXT(M153,"0"),M153), _MAPPINGS!$A$1:$C$24, 2, FALSE), 1))</f>
        <v/>
      </c>
      <c r="O153" s="6" t="str">
        <f>IF(M153="", "", IFERROR(VLOOKUP(IF(ISNUMBER(M153),TEXT(M153,"0"),M153), _MAPPINGS!$A$1:$C$24, 3, FALSE), 1))</f>
        <v/>
      </c>
      <c r="P153" s="6" t="str">
        <f t="shared" si="4"/>
        <v/>
      </c>
    </row>
    <row r="154" spans="14:16" x14ac:dyDescent="0.3">
      <c r="N154" s="6" t="str">
        <f>IF(M154="", "", IFERROR(VLOOKUP(IF(ISNUMBER(M154),TEXT(M154,"0"),M154), _MAPPINGS!$A$1:$C$24, 2, FALSE), 1))</f>
        <v/>
      </c>
      <c r="O154" s="6" t="str">
        <f>IF(M154="", "", IFERROR(VLOOKUP(IF(ISNUMBER(M154),TEXT(M154,"0"),M154), _MAPPINGS!$A$1:$C$24, 3, FALSE), 1))</f>
        <v/>
      </c>
      <c r="P154" s="6" t="str">
        <f t="shared" si="4"/>
        <v/>
      </c>
    </row>
    <row r="155" spans="14:16" x14ac:dyDescent="0.3">
      <c r="N155" s="6" t="str">
        <f>IF(M155="", "", IFERROR(VLOOKUP(IF(ISNUMBER(M155),TEXT(M155,"0"),M155), _MAPPINGS!$A$1:$C$24, 2, FALSE), 1))</f>
        <v/>
      </c>
      <c r="O155" s="6" t="str">
        <f>IF(M155="", "", IFERROR(VLOOKUP(IF(ISNUMBER(M155),TEXT(M155,"0"),M155), _MAPPINGS!$A$1:$C$24, 3, FALSE), 1))</f>
        <v/>
      </c>
      <c r="P155" s="6" t="str">
        <f t="shared" si="4"/>
        <v/>
      </c>
    </row>
    <row r="156" spans="14:16" x14ac:dyDescent="0.3">
      <c r="N156" s="6" t="str">
        <f>IF(M156="", "", IFERROR(VLOOKUP(IF(ISNUMBER(M156),TEXT(M156,"0"),M156), _MAPPINGS!$A$1:$C$24, 2, FALSE), 1))</f>
        <v/>
      </c>
      <c r="O156" s="6" t="str">
        <f>IF(M156="", "", IFERROR(VLOOKUP(IF(ISNUMBER(M156),TEXT(M156,"0"),M156), _MAPPINGS!$A$1:$C$24, 3, FALSE), 1))</f>
        <v/>
      </c>
      <c r="P156" s="6" t="str">
        <f t="shared" si="4"/>
        <v/>
      </c>
    </row>
    <row r="157" spans="14:16" x14ac:dyDescent="0.3">
      <c r="N157" s="6" t="str">
        <f>IF(M157="", "", IFERROR(VLOOKUP(IF(ISNUMBER(M157),TEXT(M157,"0"),M157), _MAPPINGS!$A$1:$C$24, 2, FALSE), 1))</f>
        <v/>
      </c>
      <c r="O157" s="6" t="str">
        <f>IF(M157="", "", IFERROR(VLOOKUP(IF(ISNUMBER(M157),TEXT(M157,"0"),M157), _MAPPINGS!$A$1:$C$24, 3, FALSE), 1))</f>
        <v/>
      </c>
      <c r="P157" s="6" t="str">
        <f t="shared" si="4"/>
        <v/>
      </c>
    </row>
    <row r="158" spans="14:16" x14ac:dyDescent="0.3">
      <c r="N158" s="6" t="str">
        <f>IF(M158="", "", IFERROR(VLOOKUP(IF(ISNUMBER(M158),TEXT(M158,"0"),M158), _MAPPINGS!$A$1:$C$24, 2, FALSE), 1))</f>
        <v/>
      </c>
      <c r="O158" s="6" t="str">
        <f>IF(M158="", "", IFERROR(VLOOKUP(IF(ISNUMBER(M158),TEXT(M158,"0"),M158), _MAPPINGS!$A$1:$C$24, 3, FALSE), 1))</f>
        <v/>
      </c>
      <c r="P158" s="6" t="str">
        <f t="shared" si="4"/>
        <v/>
      </c>
    </row>
    <row r="159" spans="14:16" x14ac:dyDescent="0.3">
      <c r="N159" s="6" t="str">
        <f>IF(M159="", "", IFERROR(VLOOKUP(IF(ISNUMBER(M159),TEXT(M159,"0"),M159), _MAPPINGS!$A$1:$C$24, 2, FALSE), 1))</f>
        <v/>
      </c>
      <c r="O159" s="6" t="str">
        <f>IF(M159="", "", IFERROR(VLOOKUP(IF(ISNUMBER(M159),TEXT(M159,"0"),M159), _MAPPINGS!$A$1:$C$24, 3, FALSE), 1))</f>
        <v/>
      </c>
      <c r="P159" s="6" t="str">
        <f t="shared" si="4"/>
        <v/>
      </c>
    </row>
    <row r="160" spans="14:16" x14ac:dyDescent="0.3">
      <c r="N160" s="6" t="str">
        <f>IF(M160="", "", IFERROR(VLOOKUP(IF(ISNUMBER(M160),TEXT(M160,"0"),M160), _MAPPINGS!$A$1:$C$24, 2, FALSE), 1))</f>
        <v/>
      </c>
      <c r="O160" s="6" t="str">
        <f>IF(M160="", "", IFERROR(VLOOKUP(IF(ISNUMBER(M160),TEXT(M160,"0"),M160), _MAPPINGS!$A$1:$C$24, 3, FALSE), 1))</f>
        <v/>
      </c>
      <c r="P160" s="6" t="str">
        <f t="shared" si="4"/>
        <v/>
      </c>
    </row>
    <row r="161" spans="14:16" x14ac:dyDescent="0.3">
      <c r="N161" s="6" t="str">
        <f>IF(M161="", "", IFERROR(VLOOKUP(IF(ISNUMBER(M161),TEXT(M161,"0"),M161), _MAPPINGS!$A$1:$C$24, 2, FALSE), 1))</f>
        <v/>
      </c>
      <c r="O161" s="6" t="str">
        <f>IF(M161="", "", IFERROR(VLOOKUP(IF(ISNUMBER(M161),TEXT(M161,"0"),M161), _MAPPINGS!$A$1:$C$24, 3, FALSE), 1))</f>
        <v/>
      </c>
      <c r="P161" s="6" t="str">
        <f t="shared" si="4"/>
        <v/>
      </c>
    </row>
    <row r="162" spans="14:16" x14ac:dyDescent="0.3">
      <c r="N162" s="6" t="str">
        <f>IF(M162="", "", IFERROR(VLOOKUP(IF(ISNUMBER(M162),TEXT(M162,"0"),M162), _MAPPINGS!$A$1:$C$24, 2, FALSE), 1))</f>
        <v/>
      </c>
      <c r="O162" s="6" t="str">
        <f>IF(M162="", "", IFERROR(VLOOKUP(IF(ISNUMBER(M162),TEXT(M162,"0"),M162), _MAPPINGS!$A$1:$C$24, 3, FALSE), 1))</f>
        <v/>
      </c>
      <c r="P162" s="6" t="str">
        <f t="shared" si="4"/>
        <v/>
      </c>
    </row>
    <row r="163" spans="14:16" x14ac:dyDescent="0.3">
      <c r="N163" s="6" t="str">
        <f>IF(M163="", "", IFERROR(VLOOKUP(IF(ISNUMBER(M163),TEXT(M163,"0"),M163), _MAPPINGS!$A$1:$C$24, 2, FALSE), 1))</f>
        <v/>
      </c>
      <c r="O163" s="6" t="str">
        <f>IF(M163="", "", IFERROR(VLOOKUP(IF(ISNUMBER(M163),TEXT(M163,"0"),M163), _MAPPINGS!$A$1:$C$24, 3, FALSE), 1))</f>
        <v/>
      </c>
      <c r="P163" s="6" t="str">
        <f t="shared" si="4"/>
        <v/>
      </c>
    </row>
    <row r="164" spans="14:16" x14ac:dyDescent="0.3">
      <c r="N164" s="6" t="str">
        <f>IF(M164="", "", IFERROR(VLOOKUP(IF(ISNUMBER(M164),TEXT(M164,"0"),M164), _MAPPINGS!$A$1:$C$24, 2, FALSE), 1))</f>
        <v/>
      </c>
      <c r="O164" s="6" t="str">
        <f>IF(M164="", "", IFERROR(VLOOKUP(IF(ISNUMBER(M164),TEXT(M164,"0"),M164), _MAPPINGS!$A$1:$C$24, 3, FALSE), 1))</f>
        <v/>
      </c>
      <c r="P164" s="6" t="str">
        <f t="shared" ref="P164:P195" si="5">IF(AND(N164&lt;&gt;"", O164&lt;&gt;""), N164*O164, "")</f>
        <v/>
      </c>
    </row>
    <row r="165" spans="14:16" x14ac:dyDescent="0.3">
      <c r="N165" s="6" t="str">
        <f>IF(M165="", "", IFERROR(VLOOKUP(IF(ISNUMBER(M165),TEXT(M165,"0"),M165), _MAPPINGS!$A$1:$C$24, 2, FALSE), 1))</f>
        <v/>
      </c>
      <c r="O165" s="6" t="str">
        <f>IF(M165="", "", IFERROR(VLOOKUP(IF(ISNUMBER(M165),TEXT(M165,"0"),M165), _MAPPINGS!$A$1:$C$24, 3, FALSE), 1))</f>
        <v/>
      </c>
      <c r="P165" s="6" t="str">
        <f t="shared" si="5"/>
        <v/>
      </c>
    </row>
    <row r="166" spans="14:16" x14ac:dyDescent="0.3">
      <c r="N166" s="6" t="str">
        <f>IF(M166="", "", IFERROR(VLOOKUP(IF(ISNUMBER(M166),TEXT(M166,"0"),M166), _MAPPINGS!$A$1:$C$24, 2, FALSE), 1))</f>
        <v/>
      </c>
      <c r="O166" s="6" t="str">
        <f>IF(M166="", "", IFERROR(VLOOKUP(IF(ISNUMBER(M166),TEXT(M166,"0"),M166), _MAPPINGS!$A$1:$C$24, 3, FALSE), 1))</f>
        <v/>
      </c>
      <c r="P166" s="6" t="str">
        <f t="shared" si="5"/>
        <v/>
      </c>
    </row>
    <row r="167" spans="14:16" x14ac:dyDescent="0.3">
      <c r="N167" s="6" t="str">
        <f>IF(M167="", "", IFERROR(VLOOKUP(IF(ISNUMBER(M167),TEXT(M167,"0"),M167), _MAPPINGS!$A$1:$C$24, 2, FALSE), 1))</f>
        <v/>
      </c>
      <c r="O167" s="6" t="str">
        <f>IF(M167="", "", IFERROR(VLOOKUP(IF(ISNUMBER(M167),TEXT(M167,"0"),M167), _MAPPINGS!$A$1:$C$24, 3, FALSE), 1))</f>
        <v/>
      </c>
      <c r="P167" s="6" t="str">
        <f t="shared" si="5"/>
        <v/>
      </c>
    </row>
    <row r="168" spans="14:16" x14ac:dyDescent="0.3">
      <c r="N168" s="6" t="str">
        <f>IF(M168="", "", IFERROR(VLOOKUP(IF(ISNUMBER(M168),TEXT(M168,"0"),M168), _MAPPINGS!$A$1:$C$24, 2, FALSE), 1))</f>
        <v/>
      </c>
      <c r="O168" s="6" t="str">
        <f>IF(M168="", "", IFERROR(VLOOKUP(IF(ISNUMBER(M168),TEXT(M168,"0"),M168), _MAPPINGS!$A$1:$C$24, 3, FALSE), 1))</f>
        <v/>
      </c>
      <c r="P168" s="6" t="str">
        <f t="shared" si="5"/>
        <v/>
      </c>
    </row>
    <row r="169" spans="14:16" x14ac:dyDescent="0.3">
      <c r="N169" s="6" t="str">
        <f>IF(M169="", "", IFERROR(VLOOKUP(IF(ISNUMBER(M169),TEXT(M169,"0"),M169), _MAPPINGS!$A$1:$C$24, 2, FALSE), 1))</f>
        <v/>
      </c>
      <c r="O169" s="6" t="str">
        <f>IF(M169="", "", IFERROR(VLOOKUP(IF(ISNUMBER(M169),TEXT(M169,"0"),M169), _MAPPINGS!$A$1:$C$24, 3, FALSE), 1))</f>
        <v/>
      </c>
      <c r="P169" s="6" t="str">
        <f t="shared" si="5"/>
        <v/>
      </c>
    </row>
    <row r="170" spans="14:16" x14ac:dyDescent="0.3">
      <c r="N170" s="6" t="str">
        <f>IF(M170="", "", IFERROR(VLOOKUP(IF(ISNUMBER(M170),TEXT(M170,"0"),M170), _MAPPINGS!$A$1:$C$24, 2, FALSE), 1))</f>
        <v/>
      </c>
      <c r="O170" s="6" t="str">
        <f>IF(M170="", "", IFERROR(VLOOKUP(IF(ISNUMBER(M170),TEXT(M170,"0"),M170), _MAPPINGS!$A$1:$C$24, 3, FALSE), 1))</f>
        <v/>
      </c>
      <c r="P170" s="6" t="str">
        <f t="shared" si="5"/>
        <v/>
      </c>
    </row>
    <row r="171" spans="14:16" x14ac:dyDescent="0.3">
      <c r="N171" s="6" t="str">
        <f>IF(M171="", "", IFERROR(VLOOKUP(IF(ISNUMBER(M171),TEXT(M171,"0"),M171), _MAPPINGS!$A$1:$C$24, 2, FALSE), 1))</f>
        <v/>
      </c>
      <c r="O171" s="6" t="str">
        <f>IF(M171="", "", IFERROR(VLOOKUP(IF(ISNUMBER(M171),TEXT(M171,"0"),M171), _MAPPINGS!$A$1:$C$24, 3, FALSE), 1))</f>
        <v/>
      </c>
      <c r="P171" s="6" t="str">
        <f t="shared" si="5"/>
        <v/>
      </c>
    </row>
    <row r="172" spans="14:16" x14ac:dyDescent="0.3">
      <c r="N172" s="6" t="str">
        <f>IF(M172="", "", IFERROR(VLOOKUP(IF(ISNUMBER(M172),TEXT(M172,"0"),M172), _MAPPINGS!$A$1:$C$24, 2, FALSE), 1))</f>
        <v/>
      </c>
      <c r="O172" s="6" t="str">
        <f>IF(M172="", "", IFERROR(VLOOKUP(IF(ISNUMBER(M172),TEXT(M172,"0"),M172), _MAPPINGS!$A$1:$C$24, 3, FALSE), 1))</f>
        <v/>
      </c>
      <c r="P172" s="6" t="str">
        <f t="shared" si="5"/>
        <v/>
      </c>
    </row>
    <row r="173" spans="14:16" x14ac:dyDescent="0.3">
      <c r="N173" s="6" t="str">
        <f>IF(M173="", "", IFERROR(VLOOKUP(IF(ISNUMBER(M173),TEXT(M173,"0"),M173), _MAPPINGS!$A$1:$C$24, 2, FALSE), 1))</f>
        <v/>
      </c>
      <c r="O173" s="6" t="str">
        <f>IF(M173="", "", IFERROR(VLOOKUP(IF(ISNUMBER(M173),TEXT(M173,"0"),M173), _MAPPINGS!$A$1:$C$24, 3, FALSE), 1))</f>
        <v/>
      </c>
      <c r="P173" s="6" t="str">
        <f t="shared" si="5"/>
        <v/>
      </c>
    </row>
    <row r="174" spans="14:16" x14ac:dyDescent="0.3">
      <c r="N174" s="6" t="str">
        <f>IF(M174="", "", IFERROR(VLOOKUP(IF(ISNUMBER(M174),TEXT(M174,"0"),M174), _MAPPINGS!$A$1:$C$24, 2, FALSE), 1))</f>
        <v/>
      </c>
      <c r="O174" s="6" t="str">
        <f>IF(M174="", "", IFERROR(VLOOKUP(IF(ISNUMBER(M174),TEXT(M174,"0"),M174), _MAPPINGS!$A$1:$C$24, 3, FALSE), 1))</f>
        <v/>
      </c>
      <c r="P174" s="6" t="str">
        <f t="shared" si="5"/>
        <v/>
      </c>
    </row>
    <row r="175" spans="14:16" x14ac:dyDescent="0.3">
      <c r="N175" s="6" t="str">
        <f>IF(M175="", "", IFERROR(VLOOKUP(IF(ISNUMBER(M175),TEXT(M175,"0"),M175), _MAPPINGS!$A$1:$C$24, 2, FALSE), 1))</f>
        <v/>
      </c>
      <c r="O175" s="6" t="str">
        <f>IF(M175="", "", IFERROR(VLOOKUP(IF(ISNUMBER(M175),TEXT(M175,"0"),M175), _MAPPINGS!$A$1:$C$24, 3, FALSE), 1))</f>
        <v/>
      </c>
      <c r="P175" s="6" t="str">
        <f t="shared" si="5"/>
        <v/>
      </c>
    </row>
    <row r="176" spans="14:16" x14ac:dyDescent="0.3">
      <c r="N176" s="6" t="str">
        <f>IF(M176="", "", IFERROR(VLOOKUP(IF(ISNUMBER(M176),TEXT(M176,"0"),M176), _MAPPINGS!$A$1:$C$24, 2, FALSE), 1))</f>
        <v/>
      </c>
      <c r="O176" s="6" t="str">
        <f>IF(M176="", "", IFERROR(VLOOKUP(IF(ISNUMBER(M176),TEXT(M176,"0"),M176), _MAPPINGS!$A$1:$C$24, 3, FALSE), 1))</f>
        <v/>
      </c>
      <c r="P176" s="6" t="str">
        <f t="shared" si="5"/>
        <v/>
      </c>
    </row>
    <row r="177" spans="14:16" x14ac:dyDescent="0.3">
      <c r="N177" s="6" t="str">
        <f>IF(M177="", "", IFERROR(VLOOKUP(IF(ISNUMBER(M177),TEXT(M177,"0"),M177), _MAPPINGS!$A$1:$C$24, 2, FALSE), 1))</f>
        <v/>
      </c>
      <c r="O177" s="6" t="str">
        <f>IF(M177="", "", IFERROR(VLOOKUP(IF(ISNUMBER(M177),TEXT(M177,"0"),M177), _MAPPINGS!$A$1:$C$24, 3, FALSE), 1))</f>
        <v/>
      </c>
      <c r="P177" s="6" t="str">
        <f t="shared" si="5"/>
        <v/>
      </c>
    </row>
    <row r="178" spans="14:16" x14ac:dyDescent="0.3">
      <c r="N178" s="6" t="str">
        <f>IF(M178="", "", IFERROR(VLOOKUP(IF(ISNUMBER(M178),TEXT(M178,"0"),M178), _MAPPINGS!$A$1:$C$24, 2, FALSE), 1))</f>
        <v/>
      </c>
      <c r="O178" s="6" t="str">
        <f>IF(M178="", "", IFERROR(VLOOKUP(IF(ISNUMBER(M178),TEXT(M178,"0"),M178), _MAPPINGS!$A$1:$C$24, 3, FALSE), 1))</f>
        <v/>
      </c>
      <c r="P178" s="6" t="str">
        <f t="shared" si="5"/>
        <v/>
      </c>
    </row>
    <row r="179" spans="14:16" x14ac:dyDescent="0.3">
      <c r="N179" s="6" t="str">
        <f>IF(M179="", "", IFERROR(VLOOKUP(IF(ISNUMBER(M179),TEXT(M179,"0"),M179), _MAPPINGS!$A$1:$C$24, 2, FALSE), 1))</f>
        <v/>
      </c>
      <c r="O179" s="6" t="str">
        <f>IF(M179="", "", IFERROR(VLOOKUP(IF(ISNUMBER(M179),TEXT(M179,"0"),M179), _MAPPINGS!$A$1:$C$24, 3, FALSE), 1))</f>
        <v/>
      </c>
      <c r="P179" s="6" t="str">
        <f t="shared" si="5"/>
        <v/>
      </c>
    </row>
    <row r="180" spans="14:16" x14ac:dyDescent="0.3">
      <c r="N180" s="6" t="str">
        <f>IF(M180="", "", IFERROR(VLOOKUP(IF(ISNUMBER(M180),TEXT(M180,"0"),M180), _MAPPINGS!$A$1:$C$24, 2, FALSE), 1))</f>
        <v/>
      </c>
      <c r="O180" s="6" t="str">
        <f>IF(M180="", "", IFERROR(VLOOKUP(IF(ISNUMBER(M180),TEXT(M180,"0"),M180), _MAPPINGS!$A$1:$C$24, 3, FALSE), 1))</f>
        <v/>
      </c>
      <c r="P180" s="6" t="str">
        <f t="shared" si="5"/>
        <v/>
      </c>
    </row>
    <row r="181" spans="14:16" x14ac:dyDescent="0.3">
      <c r="N181" s="6" t="str">
        <f>IF(M181="", "", IFERROR(VLOOKUP(IF(ISNUMBER(M181),TEXT(M181,"0"),M181), _MAPPINGS!$A$1:$C$24, 2, FALSE), 1))</f>
        <v/>
      </c>
      <c r="O181" s="6" t="str">
        <f>IF(M181="", "", IFERROR(VLOOKUP(IF(ISNUMBER(M181),TEXT(M181,"0"),M181), _MAPPINGS!$A$1:$C$24, 3, FALSE), 1))</f>
        <v/>
      </c>
      <c r="P181" s="6" t="str">
        <f t="shared" si="5"/>
        <v/>
      </c>
    </row>
    <row r="182" spans="14:16" x14ac:dyDescent="0.3">
      <c r="N182" s="6" t="str">
        <f>IF(M182="", "", IFERROR(VLOOKUP(IF(ISNUMBER(M182),TEXT(M182,"0"),M182), _MAPPINGS!$A$1:$C$24, 2, FALSE), 1))</f>
        <v/>
      </c>
      <c r="O182" s="6" t="str">
        <f>IF(M182="", "", IFERROR(VLOOKUP(IF(ISNUMBER(M182),TEXT(M182,"0"),M182), _MAPPINGS!$A$1:$C$24, 3, FALSE), 1))</f>
        <v/>
      </c>
      <c r="P182" s="6" t="str">
        <f t="shared" si="5"/>
        <v/>
      </c>
    </row>
    <row r="183" spans="14:16" x14ac:dyDescent="0.3">
      <c r="N183" s="6" t="str">
        <f>IF(M183="", "", IFERROR(VLOOKUP(IF(ISNUMBER(M183),TEXT(M183,"0"),M183), _MAPPINGS!$A$1:$C$24, 2, FALSE), 1))</f>
        <v/>
      </c>
      <c r="O183" s="6" t="str">
        <f>IF(M183="", "", IFERROR(VLOOKUP(IF(ISNUMBER(M183),TEXT(M183,"0"),M183), _MAPPINGS!$A$1:$C$24, 3, FALSE), 1))</f>
        <v/>
      </c>
      <c r="P183" s="6" t="str">
        <f t="shared" si="5"/>
        <v/>
      </c>
    </row>
    <row r="184" spans="14:16" x14ac:dyDescent="0.3">
      <c r="N184" s="6" t="str">
        <f>IF(M184="", "", IFERROR(VLOOKUP(IF(ISNUMBER(M184),TEXT(M184,"0"),M184), _MAPPINGS!$A$1:$C$24, 2, FALSE), 1))</f>
        <v/>
      </c>
      <c r="O184" s="6" t="str">
        <f>IF(M184="", "", IFERROR(VLOOKUP(IF(ISNUMBER(M184),TEXT(M184,"0"),M184), _MAPPINGS!$A$1:$C$24, 3, FALSE), 1))</f>
        <v/>
      </c>
      <c r="P184" s="6" t="str">
        <f t="shared" si="5"/>
        <v/>
      </c>
    </row>
    <row r="185" spans="14:16" x14ac:dyDescent="0.3">
      <c r="N185" s="6" t="str">
        <f>IF(M185="", "", IFERROR(VLOOKUP(IF(ISNUMBER(M185),TEXT(M185,"0"),M185), _MAPPINGS!$A$1:$C$24, 2, FALSE), 1))</f>
        <v/>
      </c>
      <c r="O185" s="6" t="str">
        <f>IF(M185="", "", IFERROR(VLOOKUP(IF(ISNUMBER(M185),TEXT(M185,"0"),M185), _MAPPINGS!$A$1:$C$24, 3, FALSE), 1))</f>
        <v/>
      </c>
      <c r="P185" s="6" t="str">
        <f t="shared" si="5"/>
        <v/>
      </c>
    </row>
    <row r="186" spans="14:16" x14ac:dyDescent="0.3">
      <c r="N186" s="6" t="str">
        <f>IF(M186="", "", IFERROR(VLOOKUP(IF(ISNUMBER(M186),TEXT(M186,"0"),M186), _MAPPINGS!$A$1:$C$24, 2, FALSE), 1))</f>
        <v/>
      </c>
      <c r="O186" s="6" t="str">
        <f>IF(M186="", "", IFERROR(VLOOKUP(IF(ISNUMBER(M186),TEXT(M186,"0"),M186), _MAPPINGS!$A$1:$C$24, 3, FALSE), 1))</f>
        <v/>
      </c>
      <c r="P186" s="6" t="str">
        <f t="shared" si="5"/>
        <v/>
      </c>
    </row>
    <row r="187" spans="14:16" x14ac:dyDescent="0.3">
      <c r="N187" s="6" t="str">
        <f>IF(M187="", "", IFERROR(VLOOKUP(IF(ISNUMBER(M187),TEXT(M187,"0"),M187), _MAPPINGS!$A$1:$C$24, 2, FALSE), 1))</f>
        <v/>
      </c>
      <c r="O187" s="6" t="str">
        <f>IF(M187="", "", IFERROR(VLOOKUP(IF(ISNUMBER(M187),TEXT(M187,"0"),M187), _MAPPINGS!$A$1:$C$24, 3, FALSE), 1))</f>
        <v/>
      </c>
      <c r="P187" s="6" t="str">
        <f t="shared" si="5"/>
        <v/>
      </c>
    </row>
    <row r="188" spans="14:16" x14ac:dyDescent="0.3">
      <c r="N188" s="6" t="str">
        <f>IF(M188="", "", IFERROR(VLOOKUP(IF(ISNUMBER(M188),TEXT(M188,"0"),M188), _MAPPINGS!$A$1:$C$24, 2, FALSE), 1))</f>
        <v/>
      </c>
      <c r="O188" s="6" t="str">
        <f>IF(M188="", "", IFERROR(VLOOKUP(IF(ISNUMBER(M188),TEXT(M188,"0"),M188), _MAPPINGS!$A$1:$C$24, 3, FALSE), 1))</f>
        <v/>
      </c>
      <c r="P188" s="6" t="str">
        <f t="shared" si="5"/>
        <v/>
      </c>
    </row>
    <row r="189" spans="14:16" x14ac:dyDescent="0.3">
      <c r="N189" s="6" t="str">
        <f>IF(M189="", "", IFERROR(VLOOKUP(IF(ISNUMBER(M189),TEXT(M189,"0"),M189), _MAPPINGS!$A$1:$C$24, 2, FALSE), 1))</f>
        <v/>
      </c>
      <c r="O189" s="6" t="str">
        <f>IF(M189="", "", IFERROR(VLOOKUP(IF(ISNUMBER(M189),TEXT(M189,"0"),M189), _MAPPINGS!$A$1:$C$24, 3, FALSE), 1))</f>
        <v/>
      </c>
      <c r="P189" s="6" t="str">
        <f t="shared" si="5"/>
        <v/>
      </c>
    </row>
    <row r="190" spans="14:16" x14ac:dyDescent="0.3">
      <c r="N190" s="6" t="str">
        <f>IF(M190="", "", IFERROR(VLOOKUP(IF(ISNUMBER(M190),TEXT(M190,"0"),M190), _MAPPINGS!$A$1:$C$24, 2, FALSE), 1))</f>
        <v/>
      </c>
      <c r="O190" s="6" t="str">
        <f>IF(M190="", "", IFERROR(VLOOKUP(IF(ISNUMBER(M190),TEXT(M190,"0"),M190), _MAPPINGS!$A$1:$C$24, 3, FALSE), 1))</f>
        <v/>
      </c>
      <c r="P190" s="6" t="str">
        <f t="shared" si="5"/>
        <v/>
      </c>
    </row>
    <row r="191" spans="14:16" x14ac:dyDescent="0.3">
      <c r="N191" s="6" t="str">
        <f>IF(M191="", "", IFERROR(VLOOKUP(IF(ISNUMBER(M191),TEXT(M191,"0"),M191), _MAPPINGS!$A$1:$C$24, 2, FALSE), 1))</f>
        <v/>
      </c>
      <c r="O191" s="6" t="str">
        <f>IF(M191="", "", IFERROR(VLOOKUP(IF(ISNUMBER(M191),TEXT(M191,"0"),M191), _MAPPINGS!$A$1:$C$24, 3, FALSE), 1))</f>
        <v/>
      </c>
      <c r="P191" s="6" t="str">
        <f t="shared" si="5"/>
        <v/>
      </c>
    </row>
    <row r="192" spans="14:16" x14ac:dyDescent="0.3">
      <c r="N192" s="6" t="str">
        <f>IF(M192="", "", IFERROR(VLOOKUP(IF(ISNUMBER(M192),TEXT(M192,"0"),M192), _MAPPINGS!$A$1:$C$24, 2, FALSE), 1))</f>
        <v/>
      </c>
      <c r="O192" s="6" t="str">
        <f>IF(M192="", "", IFERROR(VLOOKUP(IF(ISNUMBER(M192),TEXT(M192,"0"),M192), _MAPPINGS!$A$1:$C$24, 3, FALSE), 1))</f>
        <v/>
      </c>
      <c r="P192" s="6" t="str">
        <f t="shared" si="5"/>
        <v/>
      </c>
    </row>
    <row r="193" spans="14:16" x14ac:dyDescent="0.3">
      <c r="N193" s="6" t="str">
        <f>IF(M193="", "", IFERROR(VLOOKUP(IF(ISNUMBER(M193),TEXT(M193,"0"),M193), _MAPPINGS!$A$1:$C$24, 2, FALSE), 1))</f>
        <v/>
      </c>
      <c r="O193" s="6" t="str">
        <f>IF(M193="", "", IFERROR(VLOOKUP(IF(ISNUMBER(M193),TEXT(M193,"0"),M193), _MAPPINGS!$A$1:$C$24, 3, FALSE), 1))</f>
        <v/>
      </c>
      <c r="P193" s="6" t="str">
        <f t="shared" si="5"/>
        <v/>
      </c>
    </row>
    <row r="194" spans="14:16" x14ac:dyDescent="0.3">
      <c r="N194" s="6" t="str">
        <f>IF(M194="", "", IFERROR(VLOOKUP(IF(ISNUMBER(M194),TEXT(M194,"0"),M194), _MAPPINGS!$A$1:$C$24, 2, FALSE), 1))</f>
        <v/>
      </c>
      <c r="O194" s="6" t="str">
        <f>IF(M194="", "", IFERROR(VLOOKUP(IF(ISNUMBER(M194),TEXT(M194,"0"),M194), _MAPPINGS!$A$1:$C$24, 3, FALSE), 1))</f>
        <v/>
      </c>
      <c r="P194" s="6" t="str">
        <f t="shared" si="5"/>
        <v/>
      </c>
    </row>
    <row r="195" spans="14:16" x14ac:dyDescent="0.3">
      <c r="N195" s="6" t="str">
        <f>IF(M195="", "", IFERROR(VLOOKUP(IF(ISNUMBER(M195),TEXT(M195,"0"),M195), _MAPPINGS!$A$1:$C$24, 2, FALSE), 1))</f>
        <v/>
      </c>
      <c r="O195" s="6" t="str">
        <f>IF(M195="", "", IFERROR(VLOOKUP(IF(ISNUMBER(M195),TEXT(M195,"0"),M195), _MAPPINGS!$A$1:$C$24, 3, FALSE), 1))</f>
        <v/>
      </c>
      <c r="P195" s="6" t="str">
        <f t="shared" si="5"/>
        <v/>
      </c>
    </row>
    <row r="196" spans="14:16" x14ac:dyDescent="0.3">
      <c r="N196" s="6" t="str">
        <f>IF(M196="", "", IFERROR(VLOOKUP(IF(ISNUMBER(M196),TEXT(M196,"0"),M196), _MAPPINGS!$A$1:$C$24, 2, FALSE), 1))</f>
        <v/>
      </c>
      <c r="O196" s="6" t="str">
        <f>IF(M196="", "", IFERROR(VLOOKUP(IF(ISNUMBER(M196),TEXT(M196,"0"),M196), _MAPPINGS!$A$1:$C$24, 3, FALSE), 1))</f>
        <v/>
      </c>
      <c r="P196" s="6" t="str">
        <f t="shared" ref="P196:P200" si="6">IF(AND(N196&lt;&gt;"", O196&lt;&gt;""), N196*O196, "")</f>
        <v/>
      </c>
    </row>
    <row r="197" spans="14:16" x14ac:dyDescent="0.3">
      <c r="N197" s="6" t="str">
        <f>IF(M197="", "", IFERROR(VLOOKUP(IF(ISNUMBER(M197),TEXT(M197,"0"),M197), _MAPPINGS!$A$1:$C$24, 2, FALSE), 1))</f>
        <v/>
      </c>
      <c r="O197" s="6" t="str">
        <f>IF(M197="", "", IFERROR(VLOOKUP(IF(ISNUMBER(M197),TEXT(M197,"0"),M197), _MAPPINGS!$A$1:$C$24, 3, FALSE), 1))</f>
        <v/>
      </c>
      <c r="P197" s="6" t="str">
        <f t="shared" si="6"/>
        <v/>
      </c>
    </row>
    <row r="198" spans="14:16" x14ac:dyDescent="0.3">
      <c r="N198" s="6" t="str">
        <f>IF(M198="", "", IFERROR(VLOOKUP(IF(ISNUMBER(M198),TEXT(M198,"0"),M198), _MAPPINGS!$A$1:$C$24, 2, FALSE), 1))</f>
        <v/>
      </c>
      <c r="O198" s="6" t="str">
        <f>IF(M198="", "", IFERROR(VLOOKUP(IF(ISNUMBER(M198),TEXT(M198,"0"),M198), _MAPPINGS!$A$1:$C$24, 3, FALSE), 1))</f>
        <v/>
      </c>
      <c r="P198" s="6" t="str">
        <f t="shared" si="6"/>
        <v/>
      </c>
    </row>
    <row r="199" spans="14:16" x14ac:dyDescent="0.3">
      <c r="N199" s="6" t="str">
        <f>IF(M199="", "", IFERROR(VLOOKUP(IF(ISNUMBER(M199),TEXT(M199,"0"),M199), _MAPPINGS!$A$1:$C$24, 2, FALSE), 1))</f>
        <v/>
      </c>
      <c r="O199" s="6" t="str">
        <f>IF(M199="", "", IFERROR(VLOOKUP(IF(ISNUMBER(M199),TEXT(M199,"0"),M199), _MAPPINGS!$A$1:$C$24, 3, FALSE), 1))</f>
        <v/>
      </c>
      <c r="P199" s="6" t="str">
        <f t="shared" si="6"/>
        <v/>
      </c>
    </row>
    <row r="200" spans="14:16" x14ac:dyDescent="0.3">
      <c r="N200" s="6" t="str">
        <f>IF(M200="", "", IFERROR(VLOOKUP(IF(ISNUMBER(M200),TEXT(M200,"0"),M200), _MAPPINGS!$A$1:$C$24, 2, FALSE), 1))</f>
        <v/>
      </c>
      <c r="O200" s="6" t="str">
        <f>IF(M200="", "", IFERROR(VLOOKUP(IF(ISNUMBER(M200),TEXT(M200,"0"),M200), _MAPPINGS!$A$1:$C$24, 3, FALSE), 1))</f>
        <v/>
      </c>
      <c r="P200" s="6" t="str">
        <f t="shared" si="6"/>
        <v/>
      </c>
    </row>
  </sheetData>
  <mergeCells count="2">
    <mergeCell ref="A1:AQ1"/>
    <mergeCell ref="A2:AQ2"/>
  </mergeCells>
  <dataValidations count="199">
    <dataValidation type="list" allowBlank="1" sqref="M10:M200">
      <formula1>"Hora,Diaria,Semanal,Mensual,Bimensual,Trimestral,Cuatrimestral,Semestral,Anual,Eventual,Remuestreo,Bimestral,Puntual,Eventual,No Aplica"</formula1>
    </dataValidation>
    <dataValidation type="list" allowBlank="1" sqref="M4:M200">
      <formula1>"Hora,Diaria,Semanal,Mensual,Bimensual,Trimestral,Cuatrimestral,Semestral,Anual,Eventual,Remuestreo,Bimestral,Puntual,Eventual,No Aplica"</formula1>
    </dataValidation>
    <dataValidation sqref="O10"/>
    <dataValidation sqref="O100"/>
    <dataValidation sqref="O101"/>
    <dataValidation sqref="O102"/>
    <dataValidation sqref="O103"/>
    <dataValidation sqref="O104"/>
    <dataValidation sqref="O105"/>
    <dataValidation sqref="O106"/>
    <dataValidation sqref="O107"/>
    <dataValidation sqref="O108"/>
    <dataValidation sqref="O109"/>
    <dataValidation sqref="O11"/>
    <dataValidation sqref="O110"/>
    <dataValidation sqref="O111"/>
    <dataValidation sqref="O112"/>
    <dataValidation sqref="O113"/>
    <dataValidation sqref="O114"/>
    <dataValidation sqref="O115"/>
    <dataValidation sqref="O116"/>
    <dataValidation sqref="O117"/>
    <dataValidation sqref="O118"/>
    <dataValidation sqref="O119"/>
    <dataValidation sqref="O12"/>
    <dataValidation sqref="O120"/>
    <dataValidation sqref="O121"/>
    <dataValidation sqref="O122"/>
    <dataValidation sqref="O123"/>
    <dataValidation sqref="O124"/>
    <dataValidation sqref="O125"/>
    <dataValidation sqref="O126"/>
    <dataValidation sqref="O127"/>
    <dataValidation sqref="O128"/>
    <dataValidation sqref="O129"/>
    <dataValidation sqref="O13"/>
    <dataValidation sqref="O130"/>
    <dataValidation sqref="O131"/>
    <dataValidation sqref="O132"/>
    <dataValidation sqref="O133"/>
    <dataValidation sqref="O134"/>
    <dataValidation sqref="O135"/>
    <dataValidation sqref="O136"/>
    <dataValidation sqref="O137"/>
    <dataValidation sqref="O138"/>
    <dataValidation sqref="O139"/>
    <dataValidation sqref="O14"/>
    <dataValidation sqref="O140"/>
    <dataValidation sqref="O141"/>
    <dataValidation sqref="O142"/>
    <dataValidation sqref="O143"/>
    <dataValidation sqref="O144"/>
    <dataValidation sqref="O145"/>
    <dataValidation sqref="O146"/>
    <dataValidation sqref="O147"/>
    <dataValidation sqref="O148"/>
    <dataValidation sqref="O149"/>
    <dataValidation sqref="O15"/>
    <dataValidation sqref="O150"/>
    <dataValidation sqref="O151"/>
    <dataValidation sqref="O152"/>
    <dataValidation sqref="O153"/>
    <dataValidation sqref="O154"/>
    <dataValidation sqref="O155"/>
    <dataValidation sqref="O156"/>
    <dataValidation sqref="O157"/>
    <dataValidation sqref="O158"/>
    <dataValidation sqref="O159"/>
    <dataValidation sqref="O16"/>
    <dataValidation sqref="O160"/>
    <dataValidation sqref="O161"/>
    <dataValidation sqref="O162"/>
    <dataValidation sqref="O163"/>
    <dataValidation sqref="O164"/>
    <dataValidation sqref="O165"/>
    <dataValidation sqref="O166"/>
    <dataValidation sqref="O167"/>
    <dataValidation sqref="O168"/>
    <dataValidation sqref="O169"/>
    <dataValidation sqref="O17"/>
    <dataValidation sqref="O170"/>
    <dataValidation sqref="O171"/>
    <dataValidation sqref="O172"/>
    <dataValidation sqref="O173"/>
    <dataValidation sqref="O174"/>
    <dataValidation sqref="O175"/>
    <dataValidation sqref="O176"/>
    <dataValidation sqref="O177"/>
    <dataValidation sqref="O178"/>
    <dataValidation sqref="O179"/>
    <dataValidation sqref="O18"/>
    <dataValidation sqref="O180"/>
    <dataValidation sqref="O181"/>
    <dataValidation sqref="O182"/>
    <dataValidation sqref="O183"/>
    <dataValidation sqref="O184"/>
    <dataValidation sqref="O185"/>
    <dataValidation sqref="O186"/>
    <dataValidation sqref="O187"/>
    <dataValidation sqref="O188"/>
    <dataValidation sqref="O189"/>
    <dataValidation sqref="O19"/>
    <dataValidation sqref="O190"/>
    <dataValidation sqref="O191"/>
    <dataValidation sqref="O192"/>
    <dataValidation sqref="O193"/>
    <dataValidation sqref="O194"/>
    <dataValidation sqref="O195"/>
    <dataValidation sqref="O196"/>
    <dataValidation sqref="O197"/>
    <dataValidation sqref="O198"/>
    <dataValidation sqref="O199"/>
    <dataValidation sqref="O20"/>
    <dataValidation sqref="O200"/>
    <dataValidation sqref="O21"/>
    <dataValidation sqref="O22"/>
    <dataValidation sqref="O23"/>
    <dataValidation sqref="O24"/>
    <dataValidation sqref="O25"/>
    <dataValidation sqref="O26"/>
    <dataValidation sqref="O27"/>
    <dataValidation sqref="O28"/>
    <dataValidation sqref="O29"/>
    <dataValidation sqref="O30"/>
    <dataValidation sqref="O31"/>
    <dataValidation sqref="O32"/>
    <dataValidation sqref="O33"/>
    <dataValidation sqref="O34"/>
    <dataValidation sqref="O35"/>
    <dataValidation sqref="O36"/>
    <dataValidation sqref="O37"/>
    <dataValidation sqref="O38"/>
    <dataValidation sqref="O39"/>
    <dataValidation sqref="O4"/>
    <dataValidation sqref="O40"/>
    <dataValidation sqref="O41"/>
    <dataValidation sqref="O42"/>
    <dataValidation sqref="O43"/>
    <dataValidation sqref="O44"/>
    <dataValidation sqref="O45"/>
    <dataValidation sqref="O46"/>
    <dataValidation sqref="O47"/>
    <dataValidation sqref="O48"/>
    <dataValidation sqref="O49"/>
    <dataValidation sqref="O5"/>
    <dataValidation sqref="O50"/>
    <dataValidation sqref="O51"/>
    <dataValidation sqref="O52"/>
    <dataValidation sqref="O53"/>
    <dataValidation sqref="O54"/>
    <dataValidation sqref="O55"/>
    <dataValidation sqref="O56"/>
    <dataValidation sqref="O57"/>
    <dataValidation sqref="O58"/>
    <dataValidation sqref="O59"/>
    <dataValidation sqref="O6"/>
    <dataValidation sqref="O60"/>
    <dataValidation sqref="O61"/>
    <dataValidation sqref="O62"/>
    <dataValidation sqref="O63"/>
    <dataValidation sqref="O64"/>
    <dataValidation sqref="O65"/>
    <dataValidation sqref="O66"/>
    <dataValidation sqref="O67"/>
    <dataValidation sqref="O68"/>
    <dataValidation sqref="O69"/>
    <dataValidation sqref="O7"/>
    <dataValidation sqref="O70"/>
    <dataValidation sqref="O71"/>
    <dataValidation sqref="O72"/>
    <dataValidation sqref="O73"/>
    <dataValidation sqref="O74"/>
    <dataValidation sqref="O75"/>
    <dataValidation sqref="O76"/>
    <dataValidation sqref="O77"/>
    <dataValidation sqref="O78"/>
    <dataValidation sqref="O79"/>
    <dataValidation sqref="O8"/>
    <dataValidation sqref="O80"/>
    <dataValidation sqref="O81"/>
    <dataValidation sqref="O82"/>
    <dataValidation sqref="O83"/>
    <dataValidation sqref="O84"/>
    <dataValidation sqref="O85"/>
    <dataValidation sqref="O86"/>
    <dataValidation sqref="O87"/>
    <dataValidation sqref="O88"/>
    <dataValidation sqref="O89"/>
    <dataValidation sqref="O9"/>
    <dataValidation sqref="O90"/>
    <dataValidation sqref="O91"/>
    <dataValidation sqref="O92"/>
    <dataValidation sqref="O93"/>
    <dataValidation sqref="O94"/>
    <dataValidation sqref="O95"/>
    <dataValidation sqref="O96"/>
    <dataValidation sqref="O97"/>
    <dataValidation sqref="O98"/>
    <dataValidation sqref="O99"/>
  </dataValidations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5C2E"/>
  </sheetPr>
  <dimension ref="A1:K513"/>
  <sheetViews>
    <sheetView zoomScaleNormal="100" workbookViewId="0">
      <pane xSplit="2" ySplit="3" topLeftCell="D4" activePane="bottomRight" state="frozen"/>
      <selection pane="topRight"/>
      <selection pane="bottomLeft"/>
      <selection pane="bottomRight" activeCell="I4" sqref="I4"/>
    </sheetView>
  </sheetViews>
  <sheetFormatPr baseColWidth="10" defaultColWidth="8.88671875" defaultRowHeight="14.4" customHeight="1" x14ac:dyDescent="0.3"/>
  <cols>
    <col min="1" max="1" width="14" customWidth="1"/>
    <col min="2" max="2" width="30" customWidth="1"/>
    <col min="3" max="3" width="18" customWidth="1"/>
    <col min="4" max="4" width="26" customWidth="1"/>
    <col min="5" max="5" width="18" customWidth="1"/>
    <col min="6" max="6" width="22" customWidth="1"/>
    <col min="7" max="7" width="26" customWidth="1"/>
    <col min="8" max="9" width="22" customWidth="1"/>
    <col min="10" max="10" width="25" customWidth="1"/>
    <col min="11" max="11" width="9" hidden="1" customWidth="1"/>
  </cols>
  <sheetData>
    <row r="1" spans="1:11" ht="15.6" customHeight="1" x14ac:dyDescent="0.3">
      <c r="A1" s="17" t="s">
        <v>64</v>
      </c>
      <c r="B1" s="17"/>
      <c r="C1" s="17"/>
      <c r="D1" s="17"/>
      <c r="E1" s="17"/>
      <c r="F1" s="17"/>
      <c r="G1" s="17"/>
      <c r="H1" s="17"/>
      <c r="I1" s="17"/>
      <c r="J1" s="17"/>
    </row>
    <row r="2" spans="1:11" x14ac:dyDescent="0.3">
      <c r="A2" s="16" t="s">
        <v>65</v>
      </c>
      <c r="B2" s="16"/>
      <c r="C2" s="16"/>
      <c r="D2" s="16"/>
      <c r="E2" s="16"/>
      <c r="F2" s="16"/>
      <c r="G2" s="16"/>
      <c r="H2" s="16"/>
      <c r="I2" s="16"/>
      <c r="J2" s="16"/>
    </row>
    <row r="3" spans="1:11" ht="34.950000000000003" customHeight="1" x14ac:dyDescent="0.3">
      <c r="A3" s="7" t="s">
        <v>0</v>
      </c>
      <c r="B3" s="7" t="s">
        <v>66</v>
      </c>
      <c r="C3" s="7" t="s">
        <v>67</v>
      </c>
      <c r="D3" s="7" t="s">
        <v>68</v>
      </c>
      <c r="E3" s="7" t="s">
        <v>69</v>
      </c>
      <c r="F3" s="7" t="s">
        <v>70</v>
      </c>
      <c r="G3" s="7" t="s">
        <v>71</v>
      </c>
      <c r="H3" s="7" t="s">
        <v>72</v>
      </c>
      <c r="I3" s="1" t="s">
        <v>73</v>
      </c>
      <c r="J3" s="2" t="s">
        <v>74</v>
      </c>
      <c r="K3" s="7" t="s">
        <v>75</v>
      </c>
    </row>
    <row r="4" spans="1:11" ht="19.95" customHeight="1" x14ac:dyDescent="0.25">
      <c r="A4" s="3" t="s">
        <v>41</v>
      </c>
      <c r="B4" s="3" t="s">
        <v>76</v>
      </c>
      <c r="C4" s="4" t="s">
        <v>77</v>
      </c>
      <c r="D4" s="4" t="s">
        <v>49</v>
      </c>
      <c r="E4" s="4" t="s">
        <v>78</v>
      </c>
      <c r="F4" s="4" t="s">
        <v>79</v>
      </c>
      <c r="G4" s="4" t="s">
        <v>80</v>
      </c>
      <c r="H4" s="4"/>
      <c r="I4" s="4">
        <f>IF(ISNUMBER(J4), J4, IFERROR(INDEX(FICHAS!$A:$AAA, MATCH(A4, FICHAS!$A:$A, 0), MATCH("✏️ UF DISTRIBUIR (Escriba Aquí)", FICHAS!$3:$3, 0)) / COUNTIF(A:A, A4), 0))</f>
        <v>2</v>
      </c>
      <c r="J4" s="3"/>
      <c r="K4" s="4">
        <f t="shared" ref="K4:K72" si="0">IF(A4&lt;&gt;"",COUNTIF($A$4:$A$513,A4),0)</f>
        <v>10</v>
      </c>
    </row>
    <row r="5" spans="1:11" ht="19.95" customHeight="1" x14ac:dyDescent="0.25">
      <c r="A5" s="3" t="s">
        <v>41</v>
      </c>
      <c r="B5" s="3" t="s">
        <v>81</v>
      </c>
      <c r="C5" s="4" t="s">
        <v>77</v>
      </c>
      <c r="D5" s="4" t="s">
        <v>49</v>
      </c>
      <c r="E5" s="4" t="s">
        <v>78</v>
      </c>
      <c r="F5" s="4" t="s">
        <v>79</v>
      </c>
      <c r="G5" s="4" t="s">
        <v>80</v>
      </c>
      <c r="H5" s="4"/>
      <c r="I5" s="4">
        <f>IF(ISNUMBER(J5), J5, IFERROR(INDEX(FICHAS!$A:$AAA, MATCH(A5, FICHAS!$A:$A, 0), MATCH("✏️ UF DISTRIBUIR (Escriba Aquí)", FICHAS!$3:$3, 0)) / COUNTIF(A:A, A5), 0))</f>
        <v>2</v>
      </c>
      <c r="J5" s="3"/>
      <c r="K5" s="4"/>
    </row>
    <row r="6" spans="1:11" ht="19.95" customHeight="1" x14ac:dyDescent="0.25">
      <c r="A6" s="3" t="s">
        <v>41</v>
      </c>
      <c r="B6" s="3" t="s">
        <v>82</v>
      </c>
      <c r="C6" s="4" t="s">
        <v>77</v>
      </c>
      <c r="D6" s="4" t="s">
        <v>49</v>
      </c>
      <c r="E6" s="4" t="s">
        <v>78</v>
      </c>
      <c r="F6" s="4"/>
      <c r="G6" s="4"/>
      <c r="H6" s="4"/>
      <c r="I6" s="4">
        <f>IF(ISNUMBER(J6), J6, IFERROR(INDEX(FICHAS!$A:$AAA, MATCH(A6, FICHAS!$A:$A, 0), MATCH("✏️ UF DISTRIBUIR (Escriba Aquí)", FICHAS!$3:$3, 0)) / COUNTIF(A:A, A6), 0))</f>
        <v>2</v>
      </c>
      <c r="J6" s="3"/>
      <c r="K6" s="4">
        <f t="shared" si="0"/>
        <v>10</v>
      </c>
    </row>
    <row r="7" spans="1:11" ht="19.95" customHeight="1" x14ac:dyDescent="0.25">
      <c r="A7" s="3" t="s">
        <v>41</v>
      </c>
      <c r="B7" s="3" t="s">
        <v>83</v>
      </c>
      <c r="C7" s="4" t="s">
        <v>84</v>
      </c>
      <c r="D7" s="4" t="s">
        <v>85</v>
      </c>
      <c r="E7" s="4" t="s">
        <v>86</v>
      </c>
      <c r="F7" s="4" t="s">
        <v>79</v>
      </c>
      <c r="G7" s="4" t="s">
        <v>80</v>
      </c>
      <c r="H7" s="4"/>
      <c r="I7" s="4">
        <f>IF(ISNUMBER(J7), J7, IFERROR(INDEX(FICHAS!$A:$AAA, MATCH(A7, FICHAS!$A:$A, 0), MATCH("✏️ UF DISTRIBUIR (Escriba Aquí)", FICHAS!$3:$3, 0)) / COUNTIF(A:A, A7), 0))</f>
        <v>2</v>
      </c>
      <c r="J7" s="3"/>
      <c r="K7" s="4"/>
    </row>
    <row r="8" spans="1:11" ht="19.95" customHeight="1" x14ac:dyDescent="0.25">
      <c r="A8" s="3" t="s">
        <v>41</v>
      </c>
      <c r="B8" s="3" t="s">
        <v>87</v>
      </c>
      <c r="C8" s="4" t="s">
        <v>84</v>
      </c>
      <c r="D8" s="4" t="s">
        <v>85</v>
      </c>
      <c r="E8" s="4" t="s">
        <v>86</v>
      </c>
      <c r="F8" s="4" t="s">
        <v>79</v>
      </c>
      <c r="G8" s="4" t="s">
        <v>80</v>
      </c>
      <c r="H8" s="4"/>
      <c r="I8" s="4">
        <f>IF(ISNUMBER(J8), J8, IFERROR(INDEX(FICHAS!$A:$AAA, MATCH(A8, FICHAS!$A:$A, 0), MATCH("✏️ UF DISTRIBUIR (Escriba Aquí)", FICHAS!$3:$3, 0)) / COUNTIF(A:A, A8), 0))</f>
        <v>2</v>
      </c>
      <c r="J8" s="3"/>
      <c r="K8" s="4">
        <f t="shared" si="0"/>
        <v>10</v>
      </c>
    </row>
    <row r="9" spans="1:11" ht="19.95" customHeight="1" x14ac:dyDescent="0.25">
      <c r="A9" s="3" t="s">
        <v>41</v>
      </c>
      <c r="B9" s="3" t="s">
        <v>88</v>
      </c>
      <c r="C9" s="4" t="s">
        <v>84</v>
      </c>
      <c r="D9" s="4" t="s">
        <v>85</v>
      </c>
      <c r="E9" s="4" t="s">
        <v>86</v>
      </c>
      <c r="F9" s="4" t="s">
        <v>79</v>
      </c>
      <c r="G9" s="4" t="s">
        <v>80</v>
      </c>
      <c r="H9" s="4"/>
      <c r="I9" s="4">
        <f>IF(ISNUMBER(J9), J9, IFERROR(INDEX(FICHAS!$A:$AAA, MATCH(A9, FICHAS!$A:$A, 0), MATCH("✏️ UF DISTRIBUIR (Escriba Aquí)", FICHAS!$3:$3, 0)) / COUNTIF(A:A, A9), 0))</f>
        <v>2</v>
      </c>
      <c r="J9" s="3"/>
      <c r="K9" s="4"/>
    </row>
    <row r="10" spans="1:11" ht="19.95" customHeight="1" x14ac:dyDescent="0.25">
      <c r="A10" s="3" t="s">
        <v>41</v>
      </c>
      <c r="B10" s="3" t="s">
        <v>89</v>
      </c>
      <c r="C10" s="4" t="s">
        <v>84</v>
      </c>
      <c r="D10" s="4" t="s">
        <v>85</v>
      </c>
      <c r="E10" s="4" t="s">
        <v>86</v>
      </c>
      <c r="F10" s="4" t="s">
        <v>79</v>
      </c>
      <c r="G10" s="4" t="s">
        <v>80</v>
      </c>
      <c r="H10" s="4"/>
      <c r="I10" s="4">
        <f>IF(ISNUMBER(J10), J10, IFERROR(INDEX(FICHAS!$A:$AAA, MATCH(A10, FICHAS!$A:$A, 0), MATCH("✏️ UF DISTRIBUIR (Escriba Aquí)", FICHAS!$3:$3, 0)) / COUNTIF(A:A, A10), 0))</f>
        <v>2</v>
      </c>
      <c r="J10" s="3"/>
      <c r="K10" s="4"/>
    </row>
    <row r="11" spans="1:11" ht="19.95" customHeight="1" x14ac:dyDescent="0.25">
      <c r="A11" s="3" t="s">
        <v>41</v>
      </c>
      <c r="B11" s="3" t="s">
        <v>90</v>
      </c>
      <c r="C11" s="4" t="s">
        <v>84</v>
      </c>
      <c r="D11" s="4" t="s">
        <v>85</v>
      </c>
      <c r="E11" s="4" t="s">
        <v>86</v>
      </c>
      <c r="F11" s="4" t="s">
        <v>79</v>
      </c>
      <c r="G11" s="4" t="s">
        <v>80</v>
      </c>
      <c r="H11" s="4"/>
      <c r="I11" s="4">
        <f>IF(ISNUMBER(J11), J11, IFERROR(INDEX(FICHAS!$A:$AAA, MATCH(A11, FICHAS!$A:$A, 0), MATCH("✏️ UF DISTRIBUIR (Escriba Aquí)", FICHAS!$3:$3, 0)) / COUNTIF(A:A, A11), 0))</f>
        <v>2</v>
      </c>
      <c r="J11" s="3"/>
      <c r="K11" s="4"/>
    </row>
    <row r="12" spans="1:11" ht="19.95" customHeight="1" x14ac:dyDescent="0.3">
      <c r="A12" s="3" t="s">
        <v>41</v>
      </c>
      <c r="B12" s="3" t="s">
        <v>91</v>
      </c>
      <c r="C12" s="4" t="s">
        <v>84</v>
      </c>
      <c r="D12" s="4" t="s">
        <v>85</v>
      </c>
      <c r="E12" s="4" t="s">
        <v>86</v>
      </c>
      <c r="F12" s="4" t="s">
        <v>79</v>
      </c>
      <c r="G12" s="4" t="s">
        <v>80</v>
      </c>
      <c r="H12" s="4"/>
      <c r="I12" s="4">
        <f>IF(ISNUMBER(J12), J12, IFERROR(INDEX(FICHAS!$A:$AAA, MATCH(A12, FICHAS!$A:$A, 0), MATCH("✏️ UF DISTRIBUIR (Escriba Aquí)", FICHAS!$3:$3, 0)) / COUNTIF(A:A, A12), 0))</f>
        <v>2</v>
      </c>
      <c r="J12" s="3"/>
      <c r="K12" s="4">
        <f t="shared" si="0"/>
        <v>10</v>
      </c>
    </row>
    <row r="13" spans="1:11" ht="19.95" customHeight="1" x14ac:dyDescent="0.25">
      <c r="A13" s="3" t="s">
        <v>41</v>
      </c>
      <c r="B13" s="3" t="s">
        <v>92</v>
      </c>
      <c r="C13" s="4" t="s">
        <v>84</v>
      </c>
      <c r="D13" s="4" t="s">
        <v>85</v>
      </c>
      <c r="E13" s="4" t="s">
        <v>86</v>
      </c>
      <c r="F13" s="4" t="s">
        <v>79</v>
      </c>
      <c r="G13" s="4" t="s">
        <v>80</v>
      </c>
      <c r="H13" s="4"/>
      <c r="I13" s="4">
        <f>IF(ISNUMBER(J13), J13, IFERROR(INDEX(FICHAS!$A:$AAA, MATCH(A13, FICHAS!$A:$A, 0), MATCH("✏️ UF DISTRIBUIR (Escriba Aquí)", FICHAS!$3:$3, 0)) / COUNTIF(A:A, A13), 0))</f>
        <v>2</v>
      </c>
      <c r="J13" s="3"/>
      <c r="K13" s="4">
        <f t="shared" si="0"/>
        <v>10</v>
      </c>
    </row>
    <row r="14" spans="1:11" ht="19.95" customHeight="1" x14ac:dyDescent="0.25">
      <c r="A14" s="3"/>
      <c r="B14" s="3"/>
      <c r="C14" s="4"/>
      <c r="D14" s="4"/>
      <c r="E14" s="4"/>
      <c r="F14" s="4"/>
      <c r="G14" s="4"/>
      <c r="H14" s="4"/>
      <c r="I14" s="4">
        <f>IF(ISNUMBER(J14), J14, IFERROR(INDEX(FICHAS!$A:$AAA, MATCH(A14, FICHAS!$A:$A, 0), MATCH("✏️ UF DISTRIBUIR (Escriba Aquí)", FICHAS!$3:$3, 0)) / COUNTIF(A:A, A14), 0))</f>
        <v>0</v>
      </c>
      <c r="J14" s="3"/>
      <c r="K14" s="4">
        <f t="shared" si="0"/>
        <v>0</v>
      </c>
    </row>
    <row r="15" spans="1:11" ht="19.95" customHeight="1" x14ac:dyDescent="0.25">
      <c r="A15" s="3"/>
      <c r="B15" s="3"/>
      <c r="C15" s="4"/>
      <c r="D15" s="4"/>
      <c r="E15" s="4"/>
      <c r="F15" s="4"/>
      <c r="G15" s="4"/>
      <c r="H15" s="4"/>
      <c r="I15" s="4">
        <f>IF(ISNUMBER(J15), J15, IFERROR(INDEX(FICHAS!$A:$AAA, MATCH(A15, FICHAS!$A:$A, 0), MATCH("✏️ UF DISTRIBUIR (Escriba Aquí)", FICHAS!$3:$3, 0)) / COUNTIF(A:A, A15), 0))</f>
        <v>0</v>
      </c>
      <c r="J15" s="3"/>
      <c r="K15" s="4">
        <f t="shared" si="0"/>
        <v>0</v>
      </c>
    </row>
    <row r="16" spans="1:11" ht="19.95" customHeight="1" x14ac:dyDescent="0.25">
      <c r="A16" s="3"/>
      <c r="B16" s="3"/>
      <c r="C16" s="4"/>
      <c r="D16" s="4"/>
      <c r="E16" s="4"/>
      <c r="F16" s="4"/>
      <c r="G16" s="4"/>
      <c r="H16" s="4"/>
      <c r="I16" s="4">
        <f>IF(ISNUMBER(J16), J16, IFERROR(INDEX(FICHAS!$A:$AAA, MATCH(A16, FICHAS!$A:$A, 0), MATCH("✏️ UF DISTRIBUIR (Escriba Aquí)", FICHAS!$3:$3, 0)) / COUNTIF(A:A, A16), 0))</f>
        <v>0</v>
      </c>
      <c r="J16" s="3"/>
      <c r="K16" s="4">
        <f t="shared" si="0"/>
        <v>0</v>
      </c>
    </row>
    <row r="17" spans="1:11" ht="19.95" customHeight="1" x14ac:dyDescent="0.25">
      <c r="A17" s="3"/>
      <c r="B17" s="3"/>
      <c r="C17" s="4"/>
      <c r="D17" s="4"/>
      <c r="E17" s="4"/>
      <c r="F17" s="4"/>
      <c r="G17" s="4"/>
      <c r="H17" s="4"/>
      <c r="I17" s="4">
        <f>IF(ISNUMBER(J17), J17, IFERROR(INDEX(FICHAS!$A:$AAA, MATCH(A17, FICHAS!$A:$A, 0), MATCH("✏️ UF DISTRIBUIR (Escriba Aquí)", FICHAS!$3:$3, 0)) / COUNTIF(A:A, A17), 0))</f>
        <v>0</v>
      </c>
      <c r="J17" s="3"/>
      <c r="K17" s="4">
        <f t="shared" si="0"/>
        <v>0</v>
      </c>
    </row>
    <row r="18" spans="1:11" ht="19.95" customHeight="1" x14ac:dyDescent="0.25">
      <c r="A18" s="3"/>
      <c r="B18" s="3"/>
      <c r="C18" s="4"/>
      <c r="D18" s="4"/>
      <c r="E18" s="4"/>
      <c r="F18" s="4"/>
      <c r="G18" s="4"/>
      <c r="H18" s="4"/>
      <c r="I18" s="4">
        <f>IF(ISNUMBER(J18), J18, IFERROR(INDEX(FICHAS!$A:$AAA, MATCH(A18, FICHAS!$A:$A, 0), MATCH("✏️ UF DISTRIBUIR (Escriba Aquí)", FICHAS!$3:$3, 0)) / COUNTIF(A:A, A18), 0))</f>
        <v>0</v>
      </c>
      <c r="J18" s="3"/>
      <c r="K18" s="4">
        <f t="shared" si="0"/>
        <v>0</v>
      </c>
    </row>
    <row r="19" spans="1:11" ht="19.95" customHeight="1" x14ac:dyDescent="0.25">
      <c r="A19" s="3"/>
      <c r="B19" s="3"/>
      <c r="C19" s="4"/>
      <c r="D19" s="4"/>
      <c r="E19" s="4"/>
      <c r="F19" s="4"/>
      <c r="G19" s="4"/>
      <c r="H19" s="4"/>
      <c r="I19" s="4">
        <f>IF(ISNUMBER(J19), J19, IFERROR(INDEX(FICHAS!$A:$AAA, MATCH(A19, FICHAS!$A:$A, 0), MATCH("✏️ UF DISTRIBUIR (Escriba Aquí)", FICHAS!$3:$3, 0)) / COUNTIF(A:A, A19), 0))</f>
        <v>0</v>
      </c>
      <c r="J19" s="3"/>
      <c r="K19" s="4">
        <f t="shared" si="0"/>
        <v>0</v>
      </c>
    </row>
    <row r="20" spans="1:11" ht="19.95" customHeight="1" x14ac:dyDescent="0.25">
      <c r="A20" s="3"/>
      <c r="B20" s="3"/>
      <c r="C20" s="4"/>
      <c r="D20" s="4"/>
      <c r="E20" s="4"/>
      <c r="F20" s="4"/>
      <c r="G20" s="4"/>
      <c r="H20" s="4"/>
      <c r="I20" s="4">
        <f>IF(ISNUMBER(J20), J20, IFERROR(INDEX(FICHAS!$A:$AAA, MATCH(A20, FICHAS!$A:$A, 0), MATCH("✏️ UF DISTRIBUIR (Escriba Aquí)", FICHAS!$3:$3, 0)) / COUNTIF(A:A, A20), 0))</f>
        <v>0</v>
      </c>
      <c r="J20" s="3"/>
      <c r="K20" s="4">
        <f t="shared" si="0"/>
        <v>0</v>
      </c>
    </row>
    <row r="21" spans="1:11" ht="19.95" customHeight="1" x14ac:dyDescent="0.25">
      <c r="A21" s="3"/>
      <c r="B21" s="3"/>
      <c r="C21" s="4"/>
      <c r="D21" s="4"/>
      <c r="E21" s="4"/>
      <c r="F21" s="4"/>
      <c r="G21" s="4"/>
      <c r="H21" s="4"/>
      <c r="I21" s="4">
        <f>IF(ISNUMBER(J21), J21, IFERROR(INDEX(FICHAS!$A:$AAA, MATCH(A21, FICHAS!$A:$A, 0), MATCH("✏️ UF DISTRIBUIR (Escriba Aquí)", FICHAS!$3:$3, 0)) / COUNTIF(A:A, A21), 0))</f>
        <v>0</v>
      </c>
      <c r="J21" s="3"/>
      <c r="K21" s="4">
        <f t="shared" si="0"/>
        <v>0</v>
      </c>
    </row>
    <row r="22" spans="1:11" ht="19.95" customHeight="1" x14ac:dyDescent="0.25">
      <c r="A22" s="3"/>
      <c r="B22" s="3"/>
      <c r="C22" s="4"/>
      <c r="D22" s="4"/>
      <c r="E22" s="4"/>
      <c r="F22" s="4"/>
      <c r="G22" s="4"/>
      <c r="H22" s="4"/>
      <c r="I22" s="4">
        <f>IF(ISNUMBER(J22), J22, IFERROR(INDEX(FICHAS!$A:$AAA, MATCH(A22, FICHAS!$A:$A, 0), MATCH("✏️ UF DISTRIBUIR (Escriba Aquí)", FICHAS!$3:$3, 0)) / COUNTIF(A:A, A22), 0))</f>
        <v>0</v>
      </c>
      <c r="J22" s="3"/>
      <c r="K22" s="4">
        <f t="shared" si="0"/>
        <v>0</v>
      </c>
    </row>
    <row r="23" spans="1:11" ht="19.95" customHeight="1" x14ac:dyDescent="0.25">
      <c r="A23" s="3"/>
      <c r="B23" s="3"/>
      <c r="C23" s="4"/>
      <c r="D23" s="4"/>
      <c r="E23" s="4"/>
      <c r="F23" s="4"/>
      <c r="G23" s="4"/>
      <c r="H23" s="4"/>
      <c r="I23" s="4">
        <f>IF(ISNUMBER(J23), J23, IFERROR(INDEX(FICHAS!$A:$AAA, MATCH(A23, FICHAS!$A:$A, 0), MATCH("✏️ UF DISTRIBUIR (Escriba Aquí)", FICHAS!$3:$3, 0)) / COUNTIF(A:A, A23), 0))</f>
        <v>0</v>
      </c>
      <c r="J23" s="3"/>
      <c r="K23" s="4">
        <f t="shared" si="0"/>
        <v>0</v>
      </c>
    </row>
    <row r="24" spans="1:11" ht="19.95" customHeight="1" x14ac:dyDescent="0.25">
      <c r="A24" s="3"/>
      <c r="B24" s="3"/>
      <c r="C24" s="4"/>
      <c r="D24" s="4"/>
      <c r="E24" s="4"/>
      <c r="F24" s="4"/>
      <c r="G24" s="4"/>
      <c r="H24" s="4"/>
      <c r="I24" s="4">
        <f>IF(ISNUMBER(J24), J24, IFERROR(INDEX(FICHAS!$A:$AAA, MATCH(A24, FICHAS!$A:$A, 0), MATCH("✏️ UF DISTRIBUIR (Escriba Aquí)", FICHAS!$3:$3, 0)) / COUNTIF(A:A, A24), 0))</f>
        <v>0</v>
      </c>
      <c r="J24" s="3"/>
      <c r="K24" s="4">
        <f t="shared" si="0"/>
        <v>0</v>
      </c>
    </row>
    <row r="25" spans="1:11" ht="19.95" customHeight="1" x14ac:dyDescent="0.25">
      <c r="A25" s="3"/>
      <c r="B25" s="3"/>
      <c r="C25" s="4"/>
      <c r="D25" s="4"/>
      <c r="E25" s="4"/>
      <c r="F25" s="4"/>
      <c r="G25" s="4"/>
      <c r="H25" s="4"/>
      <c r="I25" s="4">
        <f>IF(ISNUMBER(J25), J25, IFERROR(INDEX(FICHAS!$A:$AAA, MATCH(A25, FICHAS!$A:$A, 0), MATCH("✏️ UF DISTRIBUIR (Escriba Aquí)", FICHAS!$3:$3, 0)) / COUNTIF(A:A, A25), 0))</f>
        <v>0</v>
      </c>
      <c r="J25" s="3"/>
      <c r="K25" s="4">
        <f t="shared" si="0"/>
        <v>0</v>
      </c>
    </row>
    <row r="26" spans="1:11" ht="19.95" customHeight="1" x14ac:dyDescent="0.25">
      <c r="A26" s="3"/>
      <c r="B26" s="3"/>
      <c r="C26" s="4"/>
      <c r="D26" s="4"/>
      <c r="E26" s="4"/>
      <c r="F26" s="4"/>
      <c r="G26" s="4"/>
      <c r="H26" s="4"/>
      <c r="I26" s="4">
        <f>IF(ISNUMBER(J26), J26, IFERROR(INDEX(FICHAS!$A:$AAA, MATCH(A26, FICHAS!$A:$A, 0), MATCH("✏️ UF DISTRIBUIR (Escriba Aquí)", FICHAS!$3:$3, 0)) / COUNTIF(A:A, A26), 0))</f>
        <v>0</v>
      </c>
      <c r="J26" s="3"/>
      <c r="K26" s="4">
        <f t="shared" si="0"/>
        <v>0</v>
      </c>
    </row>
    <row r="27" spans="1:11" ht="19.95" customHeight="1" x14ac:dyDescent="0.3">
      <c r="A27" s="3"/>
      <c r="B27" s="3"/>
      <c r="C27" s="4"/>
      <c r="D27" s="4"/>
      <c r="E27" s="4"/>
      <c r="F27" s="4"/>
      <c r="G27" s="4"/>
      <c r="H27" s="4"/>
      <c r="I27" s="4">
        <f>IF(ISNUMBER(J27), J27, IFERROR(INDEX(FICHAS!$A:$AAA, MATCH(A27, FICHAS!$A:$A, 0), MATCH("✏️ UF DISTRIBUIR (Escriba Aquí)", FICHAS!$3:$3, 0)) / COUNTIF(A:A, A27), 0))</f>
        <v>0</v>
      </c>
      <c r="J27" s="3"/>
      <c r="K27" s="4">
        <f t="shared" si="0"/>
        <v>0</v>
      </c>
    </row>
    <row r="28" spans="1:11" ht="19.95" customHeight="1" x14ac:dyDescent="0.3">
      <c r="A28" s="3"/>
      <c r="B28" s="3"/>
      <c r="C28" s="4"/>
      <c r="D28" s="4"/>
      <c r="E28" s="4"/>
      <c r="F28" s="4"/>
      <c r="G28" s="4"/>
      <c r="H28" s="4"/>
      <c r="I28" s="4">
        <f>IF(ISNUMBER(J28), J28, IFERROR(INDEX(FICHAS!$A:$AAA, MATCH(A28, FICHAS!$A:$A, 0), MATCH("✏️ UF DISTRIBUIR (Escriba Aquí)", FICHAS!$3:$3, 0)) / COUNTIF(A:A, A28), 0))</f>
        <v>0</v>
      </c>
      <c r="J28" s="3"/>
      <c r="K28" s="4">
        <f t="shared" si="0"/>
        <v>0</v>
      </c>
    </row>
    <row r="29" spans="1:11" ht="19.95" customHeight="1" x14ac:dyDescent="0.3">
      <c r="A29" s="3"/>
      <c r="B29" s="3"/>
      <c r="C29" s="4"/>
      <c r="D29" s="4"/>
      <c r="E29" s="4"/>
      <c r="F29" s="4"/>
      <c r="G29" s="4"/>
      <c r="H29" s="4"/>
      <c r="I29" s="4">
        <f>IF(ISNUMBER(J29), J29, IFERROR(INDEX(FICHAS!$A:$AAA, MATCH(A29, FICHAS!$A:$A, 0), MATCH("✏️ UF DISTRIBUIR (Escriba Aquí)", FICHAS!$3:$3, 0)) / COUNTIF(A:A, A29), 0))</f>
        <v>0</v>
      </c>
      <c r="J29" s="3"/>
      <c r="K29" s="4">
        <f t="shared" si="0"/>
        <v>0</v>
      </c>
    </row>
    <row r="30" spans="1:11" ht="19.95" customHeight="1" x14ac:dyDescent="0.3">
      <c r="A30" s="3"/>
      <c r="B30" s="3"/>
      <c r="C30" s="4"/>
      <c r="D30" s="4"/>
      <c r="E30" s="4"/>
      <c r="F30" s="4"/>
      <c r="G30" s="4"/>
      <c r="H30" s="4"/>
      <c r="I30" s="4">
        <f>IF(ISNUMBER(J30), J30, IFERROR(INDEX(FICHAS!$A:$AAA, MATCH(A30, FICHAS!$A:$A, 0), MATCH("✏️ UF DISTRIBUIR (Escriba Aquí)", FICHAS!$3:$3, 0)) / COUNTIF(A:A, A30), 0))</f>
        <v>0</v>
      </c>
      <c r="J30" s="3"/>
      <c r="K30" s="4">
        <f t="shared" si="0"/>
        <v>0</v>
      </c>
    </row>
    <row r="31" spans="1:11" ht="19.95" customHeight="1" x14ac:dyDescent="0.3">
      <c r="A31" s="3"/>
      <c r="B31" s="3"/>
      <c r="C31" s="4"/>
      <c r="D31" s="4"/>
      <c r="E31" s="4"/>
      <c r="F31" s="4"/>
      <c r="G31" s="4"/>
      <c r="H31" s="4"/>
      <c r="I31" s="4">
        <f>IF(ISNUMBER(J31), J31, IFERROR(INDEX(FICHAS!$A:$AAA, MATCH(A31, FICHAS!$A:$A, 0), MATCH("✏️ UF DISTRIBUIR (Escriba Aquí)", FICHAS!$3:$3, 0)) / COUNTIF(A:A, A31), 0))</f>
        <v>0</v>
      </c>
      <c r="J31" s="3"/>
      <c r="K31" s="4">
        <f t="shared" si="0"/>
        <v>0</v>
      </c>
    </row>
    <row r="32" spans="1:11" ht="19.95" customHeight="1" x14ac:dyDescent="0.3">
      <c r="A32" s="3"/>
      <c r="B32" s="3"/>
      <c r="C32" s="4"/>
      <c r="D32" s="4"/>
      <c r="E32" s="4"/>
      <c r="F32" s="4"/>
      <c r="G32" s="4"/>
      <c r="H32" s="4"/>
      <c r="I32" s="4">
        <f>IF(ISNUMBER(J32), J32, IFERROR(INDEX(FICHAS!$A:$AAA, MATCH(A32, FICHAS!$A:$A, 0), MATCH("✏️ UF DISTRIBUIR (Escriba Aquí)", FICHAS!$3:$3, 0)) / COUNTIF(A:A, A32), 0))</f>
        <v>0</v>
      </c>
      <c r="J32" s="3"/>
      <c r="K32" s="4">
        <f t="shared" si="0"/>
        <v>0</v>
      </c>
    </row>
    <row r="33" spans="1:11" ht="19.95" customHeight="1" x14ac:dyDescent="0.3">
      <c r="A33" s="3"/>
      <c r="B33" s="3"/>
      <c r="C33" s="4"/>
      <c r="D33" s="4"/>
      <c r="E33" s="4"/>
      <c r="F33" s="4"/>
      <c r="G33" s="4"/>
      <c r="H33" s="4"/>
      <c r="I33" s="4">
        <f>IF(ISNUMBER(J33), J33, IFERROR(INDEX(FICHAS!$A:$AAA, MATCH(A33, FICHAS!$A:$A, 0), MATCH("✏️ UF DISTRIBUIR (Escriba Aquí)", FICHAS!$3:$3, 0)) / COUNTIF(A:A, A33), 0))</f>
        <v>0</v>
      </c>
      <c r="J33" s="3"/>
      <c r="K33" s="4">
        <f t="shared" si="0"/>
        <v>0</v>
      </c>
    </row>
    <row r="34" spans="1:11" ht="19.95" customHeight="1" x14ac:dyDescent="0.3">
      <c r="A34" s="3"/>
      <c r="B34" s="3"/>
      <c r="C34" s="4"/>
      <c r="D34" s="4"/>
      <c r="E34" s="4"/>
      <c r="F34" s="4"/>
      <c r="G34" s="4"/>
      <c r="H34" s="4"/>
      <c r="I34" s="4">
        <f>IF(ISNUMBER(J34), J34, IFERROR(INDEX(FICHAS!$A:$AAA, MATCH(A34, FICHAS!$A:$A, 0), MATCH("✏️ UF DISTRIBUIR (Escriba Aquí)", FICHAS!$3:$3, 0)) / COUNTIF(A:A, A34), 0))</f>
        <v>0</v>
      </c>
      <c r="J34" s="3"/>
      <c r="K34" s="4">
        <f t="shared" si="0"/>
        <v>0</v>
      </c>
    </row>
    <row r="35" spans="1:11" ht="19.95" customHeight="1" x14ac:dyDescent="0.3">
      <c r="A35" s="3"/>
      <c r="B35" s="3"/>
      <c r="C35" s="4"/>
      <c r="D35" s="4"/>
      <c r="E35" s="4"/>
      <c r="F35" s="4"/>
      <c r="G35" s="4"/>
      <c r="H35" s="4"/>
      <c r="I35" s="4">
        <f>IF(ISNUMBER(J35), J35, IFERROR(INDEX(FICHAS!$A:$AAA, MATCH(A35, FICHAS!$A:$A, 0), MATCH("✏️ UF DISTRIBUIR (Escriba Aquí)", FICHAS!$3:$3, 0)) / COUNTIF(A:A, A35), 0))</f>
        <v>0</v>
      </c>
      <c r="J35" s="3"/>
      <c r="K35" s="4">
        <f t="shared" si="0"/>
        <v>0</v>
      </c>
    </row>
    <row r="36" spans="1:11" ht="19.95" customHeight="1" x14ac:dyDescent="0.3">
      <c r="A36" s="3"/>
      <c r="B36" s="3"/>
      <c r="C36" s="4"/>
      <c r="D36" s="4"/>
      <c r="E36" s="4"/>
      <c r="F36" s="4"/>
      <c r="G36" s="4"/>
      <c r="H36" s="4"/>
      <c r="I36" s="4">
        <f>IF(ISNUMBER(J36), J36, IFERROR(INDEX(FICHAS!$A:$AAA, MATCH(A36, FICHAS!$A:$A, 0), MATCH("✏️ UF DISTRIBUIR (Escriba Aquí)", FICHAS!$3:$3, 0)) / COUNTIF(A:A, A36), 0))</f>
        <v>0</v>
      </c>
      <c r="J36" s="3"/>
      <c r="K36" s="4">
        <f t="shared" si="0"/>
        <v>0</v>
      </c>
    </row>
    <row r="37" spans="1:11" ht="19.95" customHeight="1" x14ac:dyDescent="0.3">
      <c r="A37" s="3"/>
      <c r="B37" s="3"/>
      <c r="C37" s="4"/>
      <c r="D37" s="4"/>
      <c r="E37" s="4"/>
      <c r="F37" s="4"/>
      <c r="G37" s="4"/>
      <c r="H37" s="4"/>
      <c r="I37" s="4">
        <f>IF(ISNUMBER(J37), J37, IFERROR(INDEX(FICHAS!$A:$AAA, MATCH(A37, FICHAS!$A:$A, 0), MATCH("✏️ UF DISTRIBUIR (Escriba Aquí)", FICHAS!$3:$3, 0)) / COUNTIF(A:A, A37), 0))</f>
        <v>0</v>
      </c>
      <c r="J37" s="3"/>
      <c r="K37" s="4">
        <f t="shared" si="0"/>
        <v>0</v>
      </c>
    </row>
    <row r="38" spans="1:11" ht="19.95" customHeight="1" x14ac:dyDescent="0.3">
      <c r="A38" s="3"/>
      <c r="B38" s="3"/>
      <c r="C38" s="4"/>
      <c r="D38" s="4"/>
      <c r="E38" s="4"/>
      <c r="F38" s="4"/>
      <c r="G38" s="4"/>
      <c r="H38" s="4"/>
      <c r="I38" s="4">
        <f>IF(ISNUMBER(J38), J38, IFERROR(INDEX(FICHAS!$A:$AAA, MATCH(A38, FICHAS!$A:$A, 0), MATCH("✏️ UF DISTRIBUIR (Escriba Aquí)", FICHAS!$3:$3, 0)) / COUNTIF(A:A, A38), 0))</f>
        <v>0</v>
      </c>
      <c r="J38" s="3"/>
      <c r="K38" s="4">
        <f t="shared" si="0"/>
        <v>0</v>
      </c>
    </row>
    <row r="39" spans="1:11" ht="19.95" customHeight="1" x14ac:dyDescent="0.3">
      <c r="A39" s="3"/>
      <c r="B39" s="3"/>
      <c r="C39" s="4"/>
      <c r="D39" s="4"/>
      <c r="E39" s="4"/>
      <c r="F39" s="4"/>
      <c r="G39" s="4"/>
      <c r="H39" s="4"/>
      <c r="I39" s="4">
        <f>IF(ISNUMBER(J39), J39, IFERROR(INDEX(FICHAS!$A:$AAA, MATCH(A39, FICHAS!$A:$A, 0), MATCH("✏️ UF DISTRIBUIR (Escriba Aquí)", FICHAS!$3:$3, 0)) / COUNTIF(A:A, A39), 0))</f>
        <v>0</v>
      </c>
      <c r="J39" s="3"/>
      <c r="K39" s="4">
        <f t="shared" si="0"/>
        <v>0</v>
      </c>
    </row>
    <row r="40" spans="1:11" ht="19.95" customHeight="1" x14ac:dyDescent="0.3">
      <c r="A40" s="3"/>
      <c r="B40" s="3"/>
      <c r="C40" s="4"/>
      <c r="D40" s="4"/>
      <c r="E40" s="4"/>
      <c r="F40" s="4"/>
      <c r="G40" s="4"/>
      <c r="H40" s="4"/>
      <c r="I40" s="4">
        <f>IF(ISNUMBER(J40), J40, IFERROR(INDEX(FICHAS!$A:$AAA, MATCH(A40, FICHAS!$A:$A, 0), MATCH("✏️ UF DISTRIBUIR (Escriba Aquí)", FICHAS!$3:$3, 0)) / COUNTIF(A:A, A40), 0))</f>
        <v>0</v>
      </c>
      <c r="J40" s="3"/>
      <c r="K40" s="4">
        <f t="shared" si="0"/>
        <v>0</v>
      </c>
    </row>
    <row r="41" spans="1:11" ht="19.95" customHeight="1" x14ac:dyDescent="0.3">
      <c r="A41" s="3"/>
      <c r="B41" s="3"/>
      <c r="C41" s="4"/>
      <c r="D41" s="4"/>
      <c r="E41" s="4"/>
      <c r="F41" s="4"/>
      <c r="G41" s="4"/>
      <c r="H41" s="4"/>
      <c r="I41" s="4">
        <f>IF(ISNUMBER(J41), J41, IFERROR(INDEX(FICHAS!$A:$AAA, MATCH(A41, FICHAS!$A:$A, 0), MATCH("✏️ UF DISTRIBUIR (Escriba Aquí)", FICHAS!$3:$3, 0)) / COUNTIF(A:A, A41), 0))</f>
        <v>0</v>
      </c>
      <c r="J41" s="3"/>
      <c r="K41" s="4">
        <f t="shared" si="0"/>
        <v>0</v>
      </c>
    </row>
    <row r="42" spans="1:11" ht="19.95" customHeight="1" x14ac:dyDescent="0.3">
      <c r="A42" s="3"/>
      <c r="B42" s="3"/>
      <c r="C42" s="4"/>
      <c r="D42" s="4"/>
      <c r="E42" s="4"/>
      <c r="F42" s="4"/>
      <c r="G42" s="4"/>
      <c r="H42" s="4"/>
      <c r="I42" s="4">
        <f>IF(ISNUMBER(J42), J42, IFERROR(INDEX(FICHAS!$A:$AAA, MATCH(A42, FICHAS!$A:$A, 0), MATCH("✏️ UF DISTRIBUIR (Escriba Aquí)", FICHAS!$3:$3, 0)) / COUNTIF(A:A, A42), 0))</f>
        <v>0</v>
      </c>
      <c r="J42" s="3"/>
      <c r="K42" s="4">
        <f t="shared" si="0"/>
        <v>0</v>
      </c>
    </row>
    <row r="43" spans="1:11" ht="19.95" customHeight="1" x14ac:dyDescent="0.3">
      <c r="A43" s="3"/>
      <c r="B43" s="3"/>
      <c r="C43" s="4"/>
      <c r="D43" s="4"/>
      <c r="E43" s="4"/>
      <c r="F43" s="4"/>
      <c r="G43" s="4"/>
      <c r="H43" s="4"/>
      <c r="I43" s="4">
        <f>IF(ISNUMBER(J43), J43, IFERROR(INDEX(FICHAS!$A:$AAA, MATCH(A43, FICHAS!$A:$A, 0), MATCH("✏️ UF DISTRIBUIR (Escriba Aquí)", FICHAS!$3:$3, 0)) / COUNTIF(A:A, A43), 0))</f>
        <v>0</v>
      </c>
      <c r="J43" s="3"/>
      <c r="K43" s="4">
        <f t="shared" si="0"/>
        <v>0</v>
      </c>
    </row>
    <row r="44" spans="1:11" ht="19.95" customHeight="1" x14ac:dyDescent="0.3">
      <c r="A44" s="3"/>
      <c r="B44" s="3"/>
      <c r="C44" s="4"/>
      <c r="D44" s="4"/>
      <c r="E44" s="4"/>
      <c r="F44" s="4"/>
      <c r="G44" s="4"/>
      <c r="H44" s="4"/>
      <c r="I44" s="4">
        <f>IF(ISNUMBER(J44), J44, IFERROR(INDEX(FICHAS!$A:$AAA, MATCH(A44, FICHAS!$A:$A, 0), MATCH("✏️ UF DISTRIBUIR (Escriba Aquí)", FICHAS!$3:$3, 0)) / COUNTIF(A:A, A44), 0))</f>
        <v>0</v>
      </c>
      <c r="J44" s="3"/>
      <c r="K44" s="4">
        <f t="shared" si="0"/>
        <v>0</v>
      </c>
    </row>
    <row r="45" spans="1:11" ht="19.95" customHeight="1" x14ac:dyDescent="0.3">
      <c r="A45" s="3"/>
      <c r="B45" s="3"/>
      <c r="C45" s="4"/>
      <c r="D45" s="4"/>
      <c r="E45" s="4"/>
      <c r="F45" s="4"/>
      <c r="G45" s="4"/>
      <c r="H45" s="4"/>
      <c r="I45" s="4">
        <f>IF(ISNUMBER(J45), J45, IFERROR(INDEX(FICHAS!$A:$AAA, MATCH(A45, FICHAS!$A:$A, 0), MATCH("✏️ UF DISTRIBUIR (Escriba Aquí)", FICHAS!$3:$3, 0)) / COUNTIF(A:A, A45), 0))</f>
        <v>0</v>
      </c>
      <c r="J45" s="3"/>
      <c r="K45" s="4">
        <f t="shared" si="0"/>
        <v>0</v>
      </c>
    </row>
    <row r="46" spans="1:11" ht="19.95" customHeight="1" x14ac:dyDescent="0.3">
      <c r="A46" s="3"/>
      <c r="B46" s="3"/>
      <c r="C46" s="4"/>
      <c r="D46" s="4"/>
      <c r="E46" s="4"/>
      <c r="F46" s="4"/>
      <c r="G46" s="4"/>
      <c r="H46" s="4"/>
      <c r="I46" s="4">
        <f>IF(ISNUMBER(J46), J46, IFERROR(INDEX(FICHAS!$A:$AAA, MATCH(A46, FICHAS!$A:$A, 0), MATCH("✏️ UF DISTRIBUIR (Escriba Aquí)", FICHAS!$3:$3, 0)) / COUNTIF(A:A, A46), 0))</f>
        <v>0</v>
      </c>
      <c r="J46" s="3"/>
      <c r="K46" s="4">
        <f t="shared" si="0"/>
        <v>0</v>
      </c>
    </row>
    <row r="47" spans="1:11" ht="19.95" customHeight="1" x14ac:dyDescent="0.3">
      <c r="A47" s="3"/>
      <c r="B47" s="3"/>
      <c r="C47" s="4"/>
      <c r="D47" s="4"/>
      <c r="E47" s="4"/>
      <c r="F47" s="4"/>
      <c r="G47" s="4"/>
      <c r="H47" s="4"/>
      <c r="I47" s="4">
        <f>IF(ISNUMBER(J47), J47, IFERROR(INDEX(FICHAS!$A:$AAA, MATCH(A47, FICHAS!$A:$A, 0), MATCH("✏️ UF DISTRIBUIR (Escriba Aquí)", FICHAS!$3:$3, 0)) / COUNTIF(A:A, A47), 0))</f>
        <v>0</v>
      </c>
      <c r="J47" s="3"/>
      <c r="K47" s="4">
        <f t="shared" si="0"/>
        <v>0</v>
      </c>
    </row>
    <row r="48" spans="1:11" ht="19.95" customHeight="1" x14ac:dyDescent="0.3">
      <c r="A48" s="3"/>
      <c r="B48" s="3"/>
      <c r="C48" s="4"/>
      <c r="D48" s="4"/>
      <c r="E48" s="4"/>
      <c r="F48" s="4"/>
      <c r="G48" s="4"/>
      <c r="H48" s="4"/>
      <c r="I48" s="4">
        <f>IF(ISNUMBER(J48), J48, IFERROR(INDEX(FICHAS!$A:$AAA, MATCH(A48, FICHAS!$A:$A, 0), MATCH("✏️ UF DISTRIBUIR (Escriba Aquí)", FICHAS!$3:$3, 0)) / COUNTIF(A:A, A48), 0))</f>
        <v>0</v>
      </c>
      <c r="J48" s="3"/>
      <c r="K48" s="4">
        <f t="shared" si="0"/>
        <v>0</v>
      </c>
    </row>
    <row r="49" spans="1:11" ht="19.95" customHeight="1" x14ac:dyDescent="0.3">
      <c r="A49" s="3"/>
      <c r="B49" s="3"/>
      <c r="C49" s="4"/>
      <c r="D49" s="4"/>
      <c r="E49" s="4"/>
      <c r="F49" s="4"/>
      <c r="G49" s="4"/>
      <c r="H49" s="4"/>
      <c r="I49" s="4">
        <f>IF(ISNUMBER(J49), J49, IFERROR(INDEX(FICHAS!$A:$AAA, MATCH(A49, FICHAS!$A:$A, 0), MATCH("✏️ UF DISTRIBUIR (Escriba Aquí)", FICHAS!$3:$3, 0)) / COUNTIF(A:A, A49), 0))</f>
        <v>0</v>
      </c>
      <c r="J49" s="3"/>
      <c r="K49" s="4">
        <f t="shared" si="0"/>
        <v>0</v>
      </c>
    </row>
    <row r="50" spans="1:11" ht="19.95" customHeight="1" x14ac:dyDescent="0.3">
      <c r="A50" s="3"/>
      <c r="B50" s="3"/>
      <c r="C50" s="4"/>
      <c r="D50" s="4"/>
      <c r="E50" s="4"/>
      <c r="F50" s="4"/>
      <c r="G50" s="4"/>
      <c r="H50" s="4"/>
      <c r="I50" s="4">
        <f>IF(ISNUMBER(J50), J50, IFERROR(INDEX(FICHAS!$A:$AAA, MATCH(A50, FICHAS!$A:$A, 0), MATCH("✏️ UF DISTRIBUIR (Escriba Aquí)", FICHAS!$3:$3, 0)) / COUNTIF(A:A, A50), 0))</f>
        <v>0</v>
      </c>
      <c r="J50" s="3"/>
      <c r="K50" s="4">
        <f t="shared" si="0"/>
        <v>0</v>
      </c>
    </row>
    <row r="51" spans="1:11" ht="19.95" customHeight="1" x14ac:dyDescent="0.3">
      <c r="A51" s="3"/>
      <c r="B51" s="3"/>
      <c r="C51" s="4"/>
      <c r="D51" s="4"/>
      <c r="E51" s="4"/>
      <c r="F51" s="4"/>
      <c r="G51" s="4"/>
      <c r="H51" s="4"/>
      <c r="I51" s="4">
        <f>IF(ISNUMBER(J51), J51, IFERROR(INDEX(FICHAS!$A:$AAA, MATCH(A51, FICHAS!$A:$A, 0), MATCH("✏️ UF DISTRIBUIR (Escriba Aquí)", FICHAS!$3:$3, 0)) / COUNTIF(A:A, A51), 0))</f>
        <v>0</v>
      </c>
      <c r="J51" s="3"/>
      <c r="K51" s="4">
        <f t="shared" si="0"/>
        <v>0</v>
      </c>
    </row>
    <row r="52" spans="1:11" ht="19.95" customHeight="1" x14ac:dyDescent="0.3">
      <c r="A52" s="3"/>
      <c r="B52" s="3"/>
      <c r="C52" s="4"/>
      <c r="D52" s="4"/>
      <c r="E52" s="4"/>
      <c r="F52" s="4"/>
      <c r="G52" s="4"/>
      <c r="H52" s="4"/>
      <c r="I52" s="4">
        <f>IF(ISNUMBER(J52), J52, IFERROR(INDEX(FICHAS!$A:$AAA, MATCH(A52, FICHAS!$A:$A, 0), MATCH("✏️ UF DISTRIBUIR (Escriba Aquí)", FICHAS!$3:$3, 0)) / COUNTIF(A:A, A52), 0))</f>
        <v>0</v>
      </c>
      <c r="J52" s="3"/>
      <c r="K52" s="4">
        <f t="shared" si="0"/>
        <v>0</v>
      </c>
    </row>
    <row r="53" spans="1:11" ht="19.95" customHeight="1" x14ac:dyDescent="0.3">
      <c r="A53" s="3"/>
      <c r="B53" s="3"/>
      <c r="C53" s="4"/>
      <c r="D53" s="4"/>
      <c r="E53" s="4"/>
      <c r="F53" s="4"/>
      <c r="G53" s="4"/>
      <c r="H53" s="4"/>
      <c r="I53" s="4">
        <f>IF(ISNUMBER(J53), J53, IFERROR(INDEX(FICHAS!$A:$AAA, MATCH(A53, FICHAS!$A:$A, 0), MATCH("✏️ UF DISTRIBUIR (Escriba Aquí)", FICHAS!$3:$3, 0)) / COUNTIF(A:A, A53), 0))</f>
        <v>0</v>
      </c>
      <c r="J53" s="3"/>
      <c r="K53" s="4">
        <f t="shared" si="0"/>
        <v>0</v>
      </c>
    </row>
    <row r="54" spans="1:11" ht="19.95" customHeight="1" x14ac:dyDescent="0.3">
      <c r="A54" s="3"/>
      <c r="B54" s="3"/>
      <c r="C54" s="4"/>
      <c r="D54" s="4"/>
      <c r="E54" s="4"/>
      <c r="F54" s="4"/>
      <c r="G54" s="4"/>
      <c r="H54" s="4"/>
      <c r="I54" s="4">
        <f>IF(ISNUMBER(J54), J54, IFERROR(INDEX(FICHAS!$A:$AAA, MATCH(A54, FICHAS!$A:$A, 0), MATCH("✏️ UF DISTRIBUIR (Escriba Aquí)", FICHAS!$3:$3, 0)) / COUNTIF(A:A, A54), 0))</f>
        <v>0</v>
      </c>
      <c r="J54" s="3"/>
      <c r="K54" s="4">
        <f t="shared" si="0"/>
        <v>0</v>
      </c>
    </row>
    <row r="55" spans="1:11" ht="19.95" customHeight="1" x14ac:dyDescent="0.3">
      <c r="A55" s="3"/>
      <c r="B55" s="3"/>
      <c r="C55" s="4"/>
      <c r="D55" s="4"/>
      <c r="E55" s="4"/>
      <c r="F55" s="4"/>
      <c r="G55" s="4"/>
      <c r="H55" s="4"/>
      <c r="I55" s="4">
        <f>IF(ISNUMBER(J55), J55, IFERROR(INDEX(FICHAS!$A:$AAA, MATCH(A55, FICHAS!$A:$A, 0), MATCH("✏️ UF DISTRIBUIR (Escriba Aquí)", FICHAS!$3:$3, 0)) / COUNTIF(A:A, A55), 0))</f>
        <v>0</v>
      </c>
      <c r="J55" s="3"/>
      <c r="K55" s="4">
        <f t="shared" si="0"/>
        <v>0</v>
      </c>
    </row>
    <row r="56" spans="1:11" ht="19.95" customHeight="1" x14ac:dyDescent="0.3">
      <c r="A56" s="3"/>
      <c r="B56" s="3"/>
      <c r="C56" s="4"/>
      <c r="D56" s="4"/>
      <c r="E56" s="4"/>
      <c r="F56" s="4"/>
      <c r="G56" s="4"/>
      <c r="H56" s="4"/>
      <c r="I56" s="4">
        <f>IF(ISNUMBER(J56), J56, IFERROR(INDEX(FICHAS!$A:$AAA, MATCH(A56, FICHAS!$A:$A, 0), MATCH("✏️ UF DISTRIBUIR (Escriba Aquí)", FICHAS!$3:$3, 0)) / COUNTIF(A:A, A56), 0))</f>
        <v>0</v>
      </c>
      <c r="J56" s="3"/>
      <c r="K56" s="4">
        <f t="shared" si="0"/>
        <v>0</v>
      </c>
    </row>
    <row r="57" spans="1:11" ht="19.95" customHeight="1" x14ac:dyDescent="0.3">
      <c r="A57" s="3"/>
      <c r="B57" s="3"/>
      <c r="C57" s="4"/>
      <c r="D57" s="4"/>
      <c r="E57" s="4"/>
      <c r="F57" s="4"/>
      <c r="G57" s="4"/>
      <c r="H57" s="4"/>
      <c r="I57" s="4">
        <f>IF(ISNUMBER(J57), J57, IFERROR(INDEX(FICHAS!$A:$AAA, MATCH(A57, FICHAS!$A:$A, 0), MATCH("✏️ UF DISTRIBUIR (Escriba Aquí)", FICHAS!$3:$3, 0)) / COUNTIF(A:A, A57), 0))</f>
        <v>0</v>
      </c>
      <c r="J57" s="3"/>
      <c r="K57" s="4">
        <f t="shared" si="0"/>
        <v>0</v>
      </c>
    </row>
    <row r="58" spans="1:11" ht="19.95" customHeight="1" x14ac:dyDescent="0.3">
      <c r="A58" s="3"/>
      <c r="B58" s="3"/>
      <c r="C58" s="4"/>
      <c r="D58" s="4"/>
      <c r="E58" s="4"/>
      <c r="F58" s="4"/>
      <c r="G58" s="4"/>
      <c r="H58" s="4"/>
      <c r="I58" s="4">
        <f>IF(ISNUMBER(J58), J58, IFERROR(INDEX(FICHAS!$A:$AAA, MATCH(A58, FICHAS!$A:$A, 0), MATCH("✏️ UF DISTRIBUIR (Escriba Aquí)", FICHAS!$3:$3, 0)) / COUNTIF(A:A, A58), 0))</f>
        <v>0</v>
      </c>
      <c r="J58" s="3"/>
      <c r="K58" s="4">
        <f t="shared" si="0"/>
        <v>0</v>
      </c>
    </row>
    <row r="59" spans="1:11" ht="19.95" customHeight="1" x14ac:dyDescent="0.3">
      <c r="A59" s="3"/>
      <c r="B59" s="3"/>
      <c r="C59" s="4"/>
      <c r="D59" s="4"/>
      <c r="E59" s="4"/>
      <c r="F59" s="4"/>
      <c r="G59" s="4"/>
      <c r="H59" s="4"/>
      <c r="I59" s="4">
        <f>IF(ISNUMBER(J59), J59, IFERROR(INDEX(FICHAS!$A:$AAA, MATCH(A59, FICHAS!$A:$A, 0), MATCH("✏️ UF DISTRIBUIR (Escriba Aquí)", FICHAS!$3:$3, 0)) / COUNTIF(A:A, A59), 0))</f>
        <v>0</v>
      </c>
      <c r="J59" s="3"/>
      <c r="K59" s="4">
        <f t="shared" si="0"/>
        <v>0</v>
      </c>
    </row>
    <row r="60" spans="1:11" ht="19.95" customHeight="1" x14ac:dyDescent="0.3">
      <c r="A60" s="3"/>
      <c r="B60" s="3"/>
      <c r="C60" s="4"/>
      <c r="D60" s="4"/>
      <c r="E60" s="4"/>
      <c r="F60" s="4"/>
      <c r="G60" s="4"/>
      <c r="H60" s="4"/>
      <c r="I60" s="4">
        <f>IF(ISNUMBER(J60), J60, IFERROR(INDEX(FICHAS!$A:$AAA, MATCH(A60, FICHAS!$A:$A, 0), MATCH("✏️ UF DISTRIBUIR (Escriba Aquí)", FICHAS!$3:$3, 0)) / COUNTIF(A:A, A60), 0))</f>
        <v>0</v>
      </c>
      <c r="J60" s="3"/>
      <c r="K60" s="4">
        <f t="shared" si="0"/>
        <v>0</v>
      </c>
    </row>
    <row r="61" spans="1:11" ht="19.95" customHeight="1" x14ac:dyDescent="0.3">
      <c r="A61" s="3"/>
      <c r="B61" s="3"/>
      <c r="C61" s="4"/>
      <c r="D61" s="4"/>
      <c r="E61" s="4"/>
      <c r="F61" s="4"/>
      <c r="G61" s="4"/>
      <c r="H61" s="4"/>
      <c r="I61" s="4">
        <f>IF(ISNUMBER(J61), J61, IFERROR(INDEX(FICHAS!$A:$AAA, MATCH(A61, FICHAS!$A:$A, 0), MATCH("✏️ UF DISTRIBUIR (Escriba Aquí)", FICHAS!$3:$3, 0)) / COUNTIF(A:A, A61), 0))</f>
        <v>0</v>
      </c>
      <c r="J61" s="3"/>
      <c r="K61" s="4">
        <f t="shared" si="0"/>
        <v>0</v>
      </c>
    </row>
    <row r="62" spans="1:11" ht="19.95" customHeight="1" x14ac:dyDescent="0.3">
      <c r="A62" s="3"/>
      <c r="B62" s="3"/>
      <c r="C62" s="4"/>
      <c r="D62" s="4"/>
      <c r="E62" s="4"/>
      <c r="F62" s="4"/>
      <c r="G62" s="4"/>
      <c r="H62" s="4"/>
      <c r="I62" s="4">
        <f>IF(ISNUMBER(J62), J62, IFERROR(INDEX(FICHAS!$A:$AAA, MATCH(A62, FICHAS!$A:$A, 0), MATCH("✏️ UF DISTRIBUIR (Escriba Aquí)", FICHAS!$3:$3, 0)) / COUNTIF(A:A, A62), 0))</f>
        <v>0</v>
      </c>
      <c r="J62" s="3"/>
      <c r="K62" s="4">
        <f t="shared" si="0"/>
        <v>0</v>
      </c>
    </row>
    <row r="63" spans="1:11" ht="19.95" customHeight="1" x14ac:dyDescent="0.3">
      <c r="A63" s="3"/>
      <c r="B63" s="3"/>
      <c r="C63" s="4"/>
      <c r="D63" s="4"/>
      <c r="E63" s="4"/>
      <c r="F63" s="4"/>
      <c r="G63" s="4"/>
      <c r="H63" s="4"/>
      <c r="I63" s="4">
        <f>IF(ISNUMBER(J63), J63, IFERROR(INDEX(FICHAS!$A:$AAA, MATCH(A63, FICHAS!$A:$A, 0), MATCH("✏️ UF DISTRIBUIR (Escriba Aquí)", FICHAS!$3:$3, 0)) / COUNTIF(A:A, A63), 0))</f>
        <v>0</v>
      </c>
      <c r="J63" s="3"/>
      <c r="K63" s="4">
        <f t="shared" si="0"/>
        <v>0</v>
      </c>
    </row>
    <row r="64" spans="1:11" ht="19.95" customHeight="1" x14ac:dyDescent="0.3">
      <c r="A64" s="3"/>
      <c r="B64" s="3"/>
      <c r="C64" s="4"/>
      <c r="D64" s="4"/>
      <c r="E64" s="4"/>
      <c r="F64" s="4"/>
      <c r="G64" s="4"/>
      <c r="H64" s="4"/>
      <c r="I64" s="4">
        <f>IF(ISNUMBER(J64), J64, IFERROR(INDEX(FICHAS!$A:$AAA, MATCH(A64, FICHAS!$A:$A, 0), MATCH("✏️ UF DISTRIBUIR (Escriba Aquí)", FICHAS!$3:$3, 0)) / COUNTIF(A:A, A64), 0))</f>
        <v>0</v>
      </c>
      <c r="J64" s="3"/>
      <c r="K64" s="4">
        <f t="shared" si="0"/>
        <v>0</v>
      </c>
    </row>
    <row r="65" spans="1:11" ht="19.95" customHeight="1" x14ac:dyDescent="0.3">
      <c r="A65" s="3"/>
      <c r="B65" s="3"/>
      <c r="C65" s="4"/>
      <c r="D65" s="4"/>
      <c r="E65" s="4"/>
      <c r="F65" s="4"/>
      <c r="G65" s="4"/>
      <c r="H65" s="4"/>
      <c r="I65" s="4">
        <f>IF(ISNUMBER(J65), J65, IFERROR(INDEX(FICHAS!$A:$AAA, MATCH(A65, FICHAS!$A:$A, 0), MATCH("✏️ UF DISTRIBUIR (Escriba Aquí)", FICHAS!$3:$3, 0)) / COUNTIF(A:A, A65), 0))</f>
        <v>0</v>
      </c>
      <c r="J65" s="3"/>
      <c r="K65" s="4">
        <f t="shared" si="0"/>
        <v>0</v>
      </c>
    </row>
    <row r="66" spans="1:11" ht="19.95" customHeight="1" x14ac:dyDescent="0.3">
      <c r="A66" s="3"/>
      <c r="B66" s="3"/>
      <c r="C66" s="4"/>
      <c r="D66" s="4"/>
      <c r="E66" s="4"/>
      <c r="F66" s="4"/>
      <c r="G66" s="4"/>
      <c r="H66" s="4"/>
      <c r="I66" s="4">
        <f>IF(ISNUMBER(J66), J66, IFERROR(INDEX(FICHAS!$A:$AAA, MATCH(A66, FICHAS!$A:$A, 0), MATCH("✏️ UF DISTRIBUIR (Escriba Aquí)", FICHAS!$3:$3, 0)) / COUNTIF(A:A, A66), 0))</f>
        <v>0</v>
      </c>
      <c r="J66" s="3"/>
      <c r="K66" s="4">
        <f t="shared" si="0"/>
        <v>0</v>
      </c>
    </row>
    <row r="67" spans="1:11" ht="19.95" customHeight="1" x14ac:dyDescent="0.3">
      <c r="A67" s="3"/>
      <c r="B67" s="3"/>
      <c r="C67" s="4"/>
      <c r="D67" s="4"/>
      <c r="E67" s="4"/>
      <c r="F67" s="4"/>
      <c r="G67" s="4"/>
      <c r="H67" s="4"/>
      <c r="I67" s="4">
        <f>IF(ISNUMBER(J67), J67, IFERROR(INDEX(FICHAS!$A:$AAA, MATCH(A67, FICHAS!$A:$A, 0), MATCH("✏️ UF DISTRIBUIR (Escriba Aquí)", FICHAS!$3:$3, 0)) / COUNTIF(A:A, A67), 0))</f>
        <v>0</v>
      </c>
      <c r="J67" s="3"/>
      <c r="K67" s="4">
        <f t="shared" si="0"/>
        <v>0</v>
      </c>
    </row>
    <row r="68" spans="1:11" ht="19.95" customHeight="1" x14ac:dyDescent="0.3">
      <c r="A68" s="3"/>
      <c r="B68" s="3"/>
      <c r="C68" s="4"/>
      <c r="D68" s="4"/>
      <c r="E68" s="4"/>
      <c r="F68" s="4"/>
      <c r="G68" s="4"/>
      <c r="H68" s="4"/>
      <c r="I68" s="4">
        <f>IF(ISNUMBER(J68), J68, IFERROR(INDEX(FICHAS!$A:$AAA, MATCH(A68, FICHAS!$A:$A, 0), MATCH("✏️ UF DISTRIBUIR (Escriba Aquí)", FICHAS!$3:$3, 0)) / COUNTIF(A:A, A68), 0))</f>
        <v>0</v>
      </c>
      <c r="J68" s="3"/>
      <c r="K68" s="4">
        <f t="shared" si="0"/>
        <v>0</v>
      </c>
    </row>
    <row r="69" spans="1:11" ht="19.95" customHeight="1" x14ac:dyDescent="0.3">
      <c r="A69" s="3"/>
      <c r="B69" s="3"/>
      <c r="C69" s="4"/>
      <c r="D69" s="4"/>
      <c r="E69" s="4"/>
      <c r="F69" s="4"/>
      <c r="G69" s="4"/>
      <c r="H69" s="4"/>
      <c r="I69" s="4">
        <f>IF(ISNUMBER(J69), J69, IFERROR(INDEX(FICHAS!$A:$AAA, MATCH(A69, FICHAS!$A:$A, 0), MATCH("✏️ UF DISTRIBUIR (Escriba Aquí)", FICHAS!$3:$3, 0)) / COUNTIF(A:A, A69), 0))</f>
        <v>0</v>
      </c>
      <c r="J69" s="3"/>
      <c r="K69" s="4">
        <f t="shared" si="0"/>
        <v>0</v>
      </c>
    </row>
    <row r="70" spans="1:11" ht="19.95" customHeight="1" x14ac:dyDescent="0.3">
      <c r="A70" s="3"/>
      <c r="B70" s="3"/>
      <c r="C70" s="4"/>
      <c r="D70" s="4"/>
      <c r="E70" s="4"/>
      <c r="F70" s="4"/>
      <c r="G70" s="4"/>
      <c r="H70" s="4"/>
      <c r="I70" s="4">
        <f>IF(ISNUMBER(J70), J70, IFERROR(INDEX(FICHAS!$A:$AAA, MATCH(A70, FICHAS!$A:$A, 0), MATCH("✏️ UF DISTRIBUIR (Escriba Aquí)", FICHAS!$3:$3, 0)) / COUNTIF(A:A, A70), 0))</f>
        <v>0</v>
      </c>
      <c r="J70" s="3"/>
      <c r="K70" s="4">
        <f t="shared" si="0"/>
        <v>0</v>
      </c>
    </row>
    <row r="71" spans="1:11" ht="19.95" customHeight="1" x14ac:dyDescent="0.3">
      <c r="A71" s="3"/>
      <c r="B71" s="3"/>
      <c r="C71" s="4"/>
      <c r="D71" s="4"/>
      <c r="E71" s="4"/>
      <c r="F71" s="4"/>
      <c r="G71" s="4"/>
      <c r="H71" s="4"/>
      <c r="I71" s="4">
        <f>IF(ISNUMBER(J71), J71, IFERROR(INDEX(FICHAS!$A:$AAA, MATCH(A71, FICHAS!$A:$A, 0), MATCH("✏️ UF DISTRIBUIR (Escriba Aquí)", FICHAS!$3:$3, 0)) / COUNTIF(A:A, A71), 0))</f>
        <v>0</v>
      </c>
      <c r="J71" s="3"/>
      <c r="K71" s="4">
        <f t="shared" si="0"/>
        <v>0</v>
      </c>
    </row>
    <row r="72" spans="1:11" ht="19.95" customHeight="1" x14ac:dyDescent="0.3">
      <c r="A72" s="3"/>
      <c r="B72" s="3"/>
      <c r="C72" s="4"/>
      <c r="D72" s="4"/>
      <c r="E72" s="4"/>
      <c r="F72" s="4"/>
      <c r="G72" s="4"/>
      <c r="H72" s="4"/>
      <c r="I72" s="4">
        <f>IF(ISNUMBER(J72), J72, IFERROR(INDEX(FICHAS!$A:$AAA, MATCH(A72, FICHAS!$A:$A, 0), MATCH("✏️ UF DISTRIBUIR (Escriba Aquí)", FICHAS!$3:$3, 0)) / COUNTIF(A:A, A72), 0))</f>
        <v>0</v>
      </c>
      <c r="J72" s="3"/>
      <c r="K72" s="4">
        <f t="shared" si="0"/>
        <v>0</v>
      </c>
    </row>
    <row r="73" spans="1:11" ht="19.95" customHeight="1" x14ac:dyDescent="0.3">
      <c r="A73" s="3"/>
      <c r="B73" s="3"/>
      <c r="C73" s="4"/>
      <c r="D73" s="4"/>
      <c r="E73" s="4"/>
      <c r="F73" s="4"/>
      <c r="G73" s="4"/>
      <c r="H73" s="4"/>
      <c r="I73" s="4">
        <f>IF(ISNUMBER(J73), J73, IFERROR(INDEX(FICHAS!$A:$AAA, MATCH(A73, FICHAS!$A:$A, 0), MATCH("✏️ UF DISTRIBUIR (Escriba Aquí)", FICHAS!$3:$3, 0)) / COUNTIF(A:A, A73), 0))</f>
        <v>0</v>
      </c>
      <c r="J73" s="3"/>
      <c r="K73" s="4">
        <f t="shared" ref="K73:K136" si="1">IF(A73&lt;&gt;"",COUNTIF($A$4:$A$513,A73),0)</f>
        <v>0</v>
      </c>
    </row>
    <row r="74" spans="1:11" ht="19.95" customHeight="1" x14ac:dyDescent="0.3">
      <c r="A74" s="3"/>
      <c r="B74" s="3"/>
      <c r="C74" s="4"/>
      <c r="D74" s="4"/>
      <c r="E74" s="4"/>
      <c r="F74" s="4"/>
      <c r="G74" s="4"/>
      <c r="H74" s="4"/>
      <c r="I74" s="4">
        <f>IF(ISNUMBER(J74), J74, IFERROR(INDEX(FICHAS!$A:$AAA, MATCH(A74, FICHAS!$A:$A, 0), MATCH("✏️ UF DISTRIBUIR (Escriba Aquí)", FICHAS!$3:$3, 0)) / COUNTIF(A:A, A74), 0))</f>
        <v>0</v>
      </c>
      <c r="J74" s="3"/>
      <c r="K74" s="4">
        <f t="shared" si="1"/>
        <v>0</v>
      </c>
    </row>
    <row r="75" spans="1:11" ht="19.95" customHeight="1" x14ac:dyDescent="0.3">
      <c r="A75" s="3"/>
      <c r="B75" s="3"/>
      <c r="C75" s="4"/>
      <c r="D75" s="4"/>
      <c r="E75" s="4"/>
      <c r="F75" s="4"/>
      <c r="G75" s="4"/>
      <c r="H75" s="4"/>
      <c r="I75" s="4">
        <f>IF(ISNUMBER(J75), J75, IFERROR(INDEX(FICHAS!$A:$AAA, MATCH(A75, FICHAS!$A:$A, 0), MATCH("✏️ UF DISTRIBUIR (Escriba Aquí)", FICHAS!$3:$3, 0)) / COUNTIF(A:A, A75), 0))</f>
        <v>0</v>
      </c>
      <c r="J75" s="3"/>
      <c r="K75" s="4">
        <f t="shared" si="1"/>
        <v>0</v>
      </c>
    </row>
    <row r="76" spans="1:11" ht="19.95" customHeight="1" x14ac:dyDescent="0.3">
      <c r="A76" s="3"/>
      <c r="B76" s="3"/>
      <c r="C76" s="4"/>
      <c r="D76" s="4"/>
      <c r="E76" s="4"/>
      <c r="F76" s="4"/>
      <c r="G76" s="4"/>
      <c r="H76" s="4"/>
      <c r="I76" s="4">
        <f>IF(ISNUMBER(J76), J76, IFERROR(INDEX(FICHAS!$A:$AAA, MATCH(A76, FICHAS!$A:$A, 0), MATCH("✏️ UF DISTRIBUIR (Escriba Aquí)", FICHAS!$3:$3, 0)) / COUNTIF(A:A, A76), 0))</f>
        <v>0</v>
      </c>
      <c r="J76" s="3"/>
      <c r="K76" s="4">
        <f t="shared" si="1"/>
        <v>0</v>
      </c>
    </row>
    <row r="77" spans="1:11" ht="19.95" customHeight="1" x14ac:dyDescent="0.3">
      <c r="A77" s="3"/>
      <c r="B77" s="3"/>
      <c r="C77" s="4"/>
      <c r="D77" s="4"/>
      <c r="E77" s="4"/>
      <c r="F77" s="4"/>
      <c r="G77" s="4"/>
      <c r="H77" s="4"/>
      <c r="I77" s="4">
        <f>IF(ISNUMBER(J77), J77, IFERROR(INDEX(FICHAS!$A:$AAA, MATCH(A77, FICHAS!$A:$A, 0), MATCH("✏️ UF DISTRIBUIR (Escriba Aquí)", FICHAS!$3:$3, 0)) / COUNTIF(A:A, A77), 0))</f>
        <v>0</v>
      </c>
      <c r="J77" s="3"/>
      <c r="K77" s="4">
        <f t="shared" si="1"/>
        <v>0</v>
      </c>
    </row>
    <row r="78" spans="1:11" ht="19.95" customHeight="1" x14ac:dyDescent="0.3">
      <c r="A78" s="3"/>
      <c r="B78" s="3"/>
      <c r="C78" s="4"/>
      <c r="D78" s="4"/>
      <c r="E78" s="4"/>
      <c r="F78" s="4"/>
      <c r="G78" s="4"/>
      <c r="H78" s="4"/>
      <c r="I78" s="4">
        <f>IF(ISNUMBER(J78), J78, IFERROR(INDEX(FICHAS!$A:$AAA, MATCH(A78, FICHAS!$A:$A, 0), MATCH("✏️ UF DISTRIBUIR (Escriba Aquí)", FICHAS!$3:$3, 0)) / COUNTIF(A:A, A78), 0))</f>
        <v>0</v>
      </c>
      <c r="J78" s="3"/>
      <c r="K78" s="4">
        <f t="shared" si="1"/>
        <v>0</v>
      </c>
    </row>
    <row r="79" spans="1:11" ht="19.95" customHeight="1" x14ac:dyDescent="0.3">
      <c r="A79" s="3"/>
      <c r="B79" s="3"/>
      <c r="C79" s="4"/>
      <c r="D79" s="4"/>
      <c r="E79" s="4"/>
      <c r="F79" s="4"/>
      <c r="G79" s="4"/>
      <c r="H79" s="4"/>
      <c r="I79" s="4">
        <f>IF(ISNUMBER(J79), J79, IFERROR(INDEX(FICHAS!$A:$AAA, MATCH(A79, FICHAS!$A:$A, 0), MATCH("✏️ UF DISTRIBUIR (Escriba Aquí)", FICHAS!$3:$3, 0)) / COUNTIF(A:A, A79), 0))</f>
        <v>0</v>
      </c>
      <c r="J79" s="3"/>
      <c r="K79" s="4">
        <f t="shared" si="1"/>
        <v>0</v>
      </c>
    </row>
    <row r="80" spans="1:11" ht="19.95" customHeight="1" x14ac:dyDescent="0.3">
      <c r="A80" s="3"/>
      <c r="B80" s="3"/>
      <c r="C80" s="4"/>
      <c r="D80" s="4"/>
      <c r="E80" s="4"/>
      <c r="F80" s="4"/>
      <c r="G80" s="4"/>
      <c r="H80" s="4"/>
      <c r="I80" s="4">
        <f>IF(ISNUMBER(J80), J80, IFERROR(INDEX(FICHAS!$A:$AAA, MATCH(A80, FICHAS!$A:$A, 0), MATCH("✏️ UF DISTRIBUIR (Escriba Aquí)", FICHAS!$3:$3, 0)) / COUNTIF(A:A, A80), 0))</f>
        <v>0</v>
      </c>
      <c r="J80" s="3"/>
      <c r="K80" s="4">
        <f t="shared" si="1"/>
        <v>0</v>
      </c>
    </row>
    <row r="81" spans="1:11" ht="19.95" customHeight="1" x14ac:dyDescent="0.3">
      <c r="A81" s="3"/>
      <c r="B81" s="3"/>
      <c r="C81" s="4"/>
      <c r="D81" s="4"/>
      <c r="E81" s="4"/>
      <c r="F81" s="4"/>
      <c r="G81" s="4"/>
      <c r="H81" s="4"/>
      <c r="I81" s="4">
        <f>IF(ISNUMBER(J81), J81, IFERROR(INDEX(FICHAS!$A:$AAA, MATCH(A81, FICHAS!$A:$A, 0), MATCH("✏️ UF DISTRIBUIR (Escriba Aquí)", FICHAS!$3:$3, 0)) / COUNTIF(A:A, A81), 0))</f>
        <v>0</v>
      </c>
      <c r="J81" s="3"/>
      <c r="K81" s="4">
        <f t="shared" si="1"/>
        <v>0</v>
      </c>
    </row>
    <row r="82" spans="1:11" ht="19.95" customHeight="1" x14ac:dyDescent="0.3">
      <c r="A82" s="3"/>
      <c r="B82" s="3"/>
      <c r="C82" s="4"/>
      <c r="D82" s="4"/>
      <c r="E82" s="4"/>
      <c r="F82" s="4"/>
      <c r="G82" s="4"/>
      <c r="H82" s="4"/>
      <c r="I82" s="4">
        <f>IF(ISNUMBER(J82), J82, IFERROR(INDEX(FICHAS!$A:$AAA, MATCH(A82, FICHAS!$A:$A, 0), MATCH("✏️ UF DISTRIBUIR (Escriba Aquí)", FICHAS!$3:$3, 0)) / COUNTIF(A:A, A82), 0))</f>
        <v>0</v>
      </c>
      <c r="J82" s="3"/>
      <c r="K82" s="4">
        <f t="shared" si="1"/>
        <v>0</v>
      </c>
    </row>
    <row r="83" spans="1:11" ht="19.95" customHeight="1" x14ac:dyDescent="0.3">
      <c r="A83" s="3"/>
      <c r="B83" s="3"/>
      <c r="C83" s="4"/>
      <c r="D83" s="4"/>
      <c r="E83" s="4"/>
      <c r="F83" s="4"/>
      <c r="G83" s="4"/>
      <c r="H83" s="4"/>
      <c r="I83" s="4">
        <f>IF(ISNUMBER(J83), J83, IFERROR(INDEX(FICHAS!$A:$AAA, MATCH(A83, FICHAS!$A:$A, 0), MATCH("✏️ UF DISTRIBUIR (Escriba Aquí)", FICHAS!$3:$3, 0)) / COUNTIF(A:A, A83), 0))</f>
        <v>0</v>
      </c>
      <c r="J83" s="3"/>
      <c r="K83" s="4">
        <f t="shared" si="1"/>
        <v>0</v>
      </c>
    </row>
    <row r="84" spans="1:11" ht="19.95" customHeight="1" x14ac:dyDescent="0.3">
      <c r="A84" s="3"/>
      <c r="B84" s="3"/>
      <c r="C84" s="4"/>
      <c r="D84" s="4"/>
      <c r="E84" s="4"/>
      <c r="F84" s="4"/>
      <c r="G84" s="4"/>
      <c r="H84" s="4"/>
      <c r="I84" s="4">
        <f>IF(ISNUMBER(J84), J84, IFERROR(INDEX(FICHAS!$A:$AAA, MATCH(A84, FICHAS!$A:$A, 0), MATCH("✏️ UF DISTRIBUIR (Escriba Aquí)", FICHAS!$3:$3, 0)) / COUNTIF(A:A, A84), 0))</f>
        <v>0</v>
      </c>
      <c r="J84" s="3"/>
      <c r="K84" s="4">
        <f t="shared" si="1"/>
        <v>0</v>
      </c>
    </row>
    <row r="85" spans="1:11" ht="19.95" customHeight="1" x14ac:dyDescent="0.3">
      <c r="A85" s="3"/>
      <c r="B85" s="3"/>
      <c r="C85" s="4"/>
      <c r="D85" s="4"/>
      <c r="E85" s="4"/>
      <c r="F85" s="4"/>
      <c r="G85" s="4"/>
      <c r="H85" s="4"/>
      <c r="I85" s="4">
        <f>IF(ISNUMBER(J85), J85, IFERROR(INDEX(FICHAS!$A:$AAA, MATCH(A85, FICHAS!$A:$A, 0), MATCH("✏️ UF DISTRIBUIR (Escriba Aquí)", FICHAS!$3:$3, 0)) / COUNTIF(A:A, A85), 0))</f>
        <v>0</v>
      </c>
      <c r="J85" s="3"/>
      <c r="K85" s="4">
        <f t="shared" si="1"/>
        <v>0</v>
      </c>
    </row>
    <row r="86" spans="1:11" ht="19.95" customHeight="1" x14ac:dyDescent="0.3">
      <c r="A86" s="3"/>
      <c r="B86" s="3"/>
      <c r="C86" s="4"/>
      <c r="D86" s="4"/>
      <c r="E86" s="4"/>
      <c r="F86" s="4"/>
      <c r="G86" s="4"/>
      <c r="H86" s="4"/>
      <c r="I86" s="4">
        <f>IF(ISNUMBER(J86), J86, IFERROR(INDEX(FICHAS!$A:$AAA, MATCH(A86, FICHAS!$A:$A, 0), MATCH("✏️ UF DISTRIBUIR (Escriba Aquí)", FICHAS!$3:$3, 0)) / COUNTIF(A:A, A86), 0))</f>
        <v>0</v>
      </c>
      <c r="J86" s="3"/>
      <c r="K86" s="4">
        <f t="shared" si="1"/>
        <v>0</v>
      </c>
    </row>
    <row r="87" spans="1:11" ht="19.95" customHeight="1" x14ac:dyDescent="0.3">
      <c r="A87" s="3"/>
      <c r="B87" s="3"/>
      <c r="C87" s="4"/>
      <c r="D87" s="4"/>
      <c r="E87" s="4"/>
      <c r="F87" s="4"/>
      <c r="G87" s="4"/>
      <c r="H87" s="4"/>
      <c r="I87" s="4">
        <f>IF(ISNUMBER(J87), J87, IFERROR(INDEX(FICHAS!$A:$AAA, MATCH(A87, FICHAS!$A:$A, 0), MATCH("✏️ UF DISTRIBUIR (Escriba Aquí)", FICHAS!$3:$3, 0)) / COUNTIF(A:A, A87), 0))</f>
        <v>0</v>
      </c>
      <c r="J87" s="3"/>
      <c r="K87" s="4">
        <f t="shared" si="1"/>
        <v>0</v>
      </c>
    </row>
    <row r="88" spans="1:11" ht="19.95" customHeight="1" x14ac:dyDescent="0.3">
      <c r="A88" s="3"/>
      <c r="B88" s="3"/>
      <c r="C88" s="4"/>
      <c r="D88" s="4"/>
      <c r="E88" s="4"/>
      <c r="F88" s="4"/>
      <c r="G88" s="4"/>
      <c r="H88" s="4"/>
      <c r="I88" s="4">
        <f>IF(ISNUMBER(J88), J88, IFERROR(INDEX(FICHAS!$A:$AAA, MATCH(A88, FICHAS!$A:$A, 0), MATCH("✏️ UF DISTRIBUIR (Escriba Aquí)", FICHAS!$3:$3, 0)) / COUNTIF(A:A, A88), 0))</f>
        <v>0</v>
      </c>
      <c r="J88" s="3"/>
      <c r="K88" s="4">
        <f t="shared" si="1"/>
        <v>0</v>
      </c>
    </row>
    <row r="89" spans="1:11" ht="19.95" customHeight="1" x14ac:dyDescent="0.3">
      <c r="A89" s="3"/>
      <c r="B89" s="3"/>
      <c r="C89" s="4"/>
      <c r="D89" s="4"/>
      <c r="E89" s="4"/>
      <c r="F89" s="4"/>
      <c r="G89" s="4"/>
      <c r="H89" s="4"/>
      <c r="I89" s="4">
        <f>IF(ISNUMBER(J89), J89, IFERROR(INDEX(FICHAS!$A:$AAA, MATCH(A89, FICHAS!$A:$A, 0), MATCH("✏️ UF DISTRIBUIR (Escriba Aquí)", FICHAS!$3:$3, 0)) / COUNTIF(A:A, A89), 0))</f>
        <v>0</v>
      </c>
      <c r="J89" s="3"/>
      <c r="K89" s="4">
        <f t="shared" si="1"/>
        <v>0</v>
      </c>
    </row>
    <row r="90" spans="1:11" ht="19.95" customHeight="1" x14ac:dyDescent="0.3">
      <c r="A90" s="3"/>
      <c r="B90" s="3"/>
      <c r="C90" s="4"/>
      <c r="D90" s="4"/>
      <c r="E90" s="4"/>
      <c r="F90" s="4"/>
      <c r="G90" s="4"/>
      <c r="H90" s="4"/>
      <c r="I90" s="4">
        <f>IF(ISNUMBER(J90), J90, IFERROR(INDEX(FICHAS!$A:$AAA, MATCH(A90, FICHAS!$A:$A, 0), MATCH("✏️ UF DISTRIBUIR (Escriba Aquí)", FICHAS!$3:$3, 0)) / COUNTIF(A:A, A90), 0))</f>
        <v>0</v>
      </c>
      <c r="J90" s="3"/>
      <c r="K90" s="4">
        <f t="shared" si="1"/>
        <v>0</v>
      </c>
    </row>
    <row r="91" spans="1:11" ht="19.95" customHeight="1" x14ac:dyDescent="0.3">
      <c r="A91" s="3"/>
      <c r="B91" s="3"/>
      <c r="C91" s="4"/>
      <c r="D91" s="4"/>
      <c r="E91" s="4"/>
      <c r="F91" s="4"/>
      <c r="G91" s="4"/>
      <c r="H91" s="4"/>
      <c r="I91" s="4">
        <f>IF(ISNUMBER(J91), J91, IFERROR(INDEX(FICHAS!$A:$AAA, MATCH(A91, FICHAS!$A:$A, 0), MATCH("✏️ UF DISTRIBUIR (Escriba Aquí)", FICHAS!$3:$3, 0)) / COUNTIF(A:A, A91), 0))</f>
        <v>0</v>
      </c>
      <c r="J91" s="3"/>
      <c r="K91" s="4">
        <f t="shared" si="1"/>
        <v>0</v>
      </c>
    </row>
    <row r="92" spans="1:11" ht="19.95" customHeight="1" x14ac:dyDescent="0.3">
      <c r="A92" s="3"/>
      <c r="B92" s="3"/>
      <c r="C92" s="4"/>
      <c r="D92" s="4"/>
      <c r="E92" s="4"/>
      <c r="F92" s="4"/>
      <c r="G92" s="4"/>
      <c r="H92" s="4"/>
      <c r="I92" s="4">
        <f>IF(ISNUMBER(J92), J92, IFERROR(INDEX(FICHAS!$A:$AAA, MATCH(A92, FICHAS!$A:$A, 0), MATCH("✏️ UF DISTRIBUIR (Escriba Aquí)", FICHAS!$3:$3, 0)) / COUNTIF(A:A, A92), 0))</f>
        <v>0</v>
      </c>
      <c r="J92" s="3"/>
      <c r="K92" s="4">
        <f t="shared" si="1"/>
        <v>0</v>
      </c>
    </row>
    <row r="93" spans="1:11" ht="19.95" customHeight="1" x14ac:dyDescent="0.3">
      <c r="A93" s="3"/>
      <c r="B93" s="3"/>
      <c r="C93" s="4"/>
      <c r="D93" s="4"/>
      <c r="E93" s="4"/>
      <c r="F93" s="4"/>
      <c r="G93" s="4"/>
      <c r="H93" s="4"/>
      <c r="I93" s="4">
        <f>IF(ISNUMBER(J93), J93, IFERROR(INDEX(FICHAS!$A:$AAA, MATCH(A93, FICHAS!$A:$A, 0), MATCH("✏️ UF DISTRIBUIR (Escriba Aquí)", FICHAS!$3:$3, 0)) / COUNTIF(A:A, A93), 0))</f>
        <v>0</v>
      </c>
      <c r="J93" s="3"/>
      <c r="K93" s="4">
        <f t="shared" si="1"/>
        <v>0</v>
      </c>
    </row>
    <row r="94" spans="1:11" ht="19.95" customHeight="1" x14ac:dyDescent="0.3">
      <c r="A94" s="3"/>
      <c r="B94" s="3"/>
      <c r="C94" s="4"/>
      <c r="D94" s="4"/>
      <c r="E94" s="4"/>
      <c r="F94" s="4"/>
      <c r="G94" s="4"/>
      <c r="H94" s="4"/>
      <c r="I94" s="4">
        <f>IF(ISNUMBER(J94), J94, IFERROR(INDEX(FICHAS!$A:$AAA, MATCH(A94, FICHAS!$A:$A, 0), MATCH("✏️ UF DISTRIBUIR (Escriba Aquí)", FICHAS!$3:$3, 0)) / COUNTIF(A:A, A94), 0))</f>
        <v>0</v>
      </c>
      <c r="J94" s="3"/>
      <c r="K94" s="4">
        <f t="shared" si="1"/>
        <v>0</v>
      </c>
    </row>
    <row r="95" spans="1:11" ht="19.95" customHeight="1" x14ac:dyDescent="0.3">
      <c r="A95" s="3"/>
      <c r="B95" s="3"/>
      <c r="C95" s="4"/>
      <c r="D95" s="4"/>
      <c r="E95" s="4"/>
      <c r="F95" s="4"/>
      <c r="G95" s="4"/>
      <c r="H95" s="4"/>
      <c r="I95" s="4">
        <f>IF(ISNUMBER(J95), J95, IFERROR(INDEX(FICHAS!$A:$AAA, MATCH(A95, FICHAS!$A:$A, 0), MATCH("✏️ UF DISTRIBUIR (Escriba Aquí)", FICHAS!$3:$3, 0)) / COUNTIF(A:A, A95), 0))</f>
        <v>0</v>
      </c>
      <c r="J95" s="3"/>
      <c r="K95" s="4">
        <f t="shared" si="1"/>
        <v>0</v>
      </c>
    </row>
    <row r="96" spans="1:11" ht="19.95" customHeight="1" x14ac:dyDescent="0.3">
      <c r="A96" s="3"/>
      <c r="B96" s="3"/>
      <c r="C96" s="4"/>
      <c r="D96" s="4"/>
      <c r="E96" s="4"/>
      <c r="F96" s="4"/>
      <c r="G96" s="4"/>
      <c r="H96" s="4"/>
      <c r="I96" s="4">
        <f>IF(ISNUMBER(J96), J96, IFERROR(INDEX(FICHAS!$A:$AAA, MATCH(A96, FICHAS!$A:$A, 0), MATCH("✏️ UF DISTRIBUIR (Escriba Aquí)", FICHAS!$3:$3, 0)) / COUNTIF(A:A, A96), 0))</f>
        <v>0</v>
      </c>
      <c r="J96" s="3"/>
      <c r="K96" s="4">
        <f t="shared" si="1"/>
        <v>0</v>
      </c>
    </row>
    <row r="97" spans="1:11" ht="19.95" customHeight="1" x14ac:dyDescent="0.3">
      <c r="A97" s="3"/>
      <c r="B97" s="3"/>
      <c r="C97" s="4"/>
      <c r="D97" s="4"/>
      <c r="E97" s="4"/>
      <c r="F97" s="4"/>
      <c r="G97" s="4"/>
      <c r="H97" s="4"/>
      <c r="I97" s="4">
        <f>IF(ISNUMBER(J97), J97, IFERROR(INDEX(FICHAS!$A:$AAA, MATCH(A97, FICHAS!$A:$A, 0), MATCH("✏️ UF DISTRIBUIR (Escriba Aquí)", FICHAS!$3:$3, 0)) / COUNTIF(A:A, A97), 0))</f>
        <v>0</v>
      </c>
      <c r="J97" s="3"/>
      <c r="K97" s="4">
        <f t="shared" si="1"/>
        <v>0</v>
      </c>
    </row>
    <row r="98" spans="1:11" ht="19.95" customHeight="1" x14ac:dyDescent="0.3">
      <c r="A98" s="3"/>
      <c r="B98" s="3"/>
      <c r="C98" s="4"/>
      <c r="D98" s="4"/>
      <c r="E98" s="4"/>
      <c r="F98" s="4"/>
      <c r="G98" s="4"/>
      <c r="H98" s="4"/>
      <c r="I98" s="4">
        <f>IF(ISNUMBER(J98), J98, IFERROR(INDEX(FICHAS!$A:$AAA, MATCH(A98, FICHAS!$A:$A, 0), MATCH("✏️ UF DISTRIBUIR (Escriba Aquí)", FICHAS!$3:$3, 0)) / COUNTIF(A:A, A98), 0))</f>
        <v>0</v>
      </c>
      <c r="J98" s="3"/>
      <c r="K98" s="4">
        <f t="shared" si="1"/>
        <v>0</v>
      </c>
    </row>
    <row r="99" spans="1:11" ht="19.95" customHeight="1" x14ac:dyDescent="0.3">
      <c r="A99" s="3"/>
      <c r="B99" s="3"/>
      <c r="C99" s="4"/>
      <c r="D99" s="4"/>
      <c r="E99" s="4"/>
      <c r="F99" s="4"/>
      <c r="G99" s="4"/>
      <c r="H99" s="4"/>
      <c r="I99" s="4">
        <f>IF(ISNUMBER(J99), J99, IFERROR(INDEX(FICHAS!$A:$AAA, MATCH(A99, FICHAS!$A:$A, 0), MATCH("✏️ UF DISTRIBUIR (Escriba Aquí)", FICHAS!$3:$3, 0)) / COUNTIF(A:A, A99), 0))</f>
        <v>0</v>
      </c>
      <c r="J99" s="3"/>
      <c r="K99" s="4">
        <f t="shared" si="1"/>
        <v>0</v>
      </c>
    </row>
    <row r="100" spans="1:11" ht="19.95" customHeight="1" x14ac:dyDescent="0.3">
      <c r="A100" s="3"/>
      <c r="B100" s="3"/>
      <c r="C100" s="4"/>
      <c r="D100" s="4"/>
      <c r="E100" s="4"/>
      <c r="F100" s="4"/>
      <c r="G100" s="4"/>
      <c r="H100" s="4"/>
      <c r="I100" s="4">
        <f>IF(ISNUMBER(J100), J100, IFERROR(INDEX(FICHAS!$A:$AAA, MATCH(A100, FICHAS!$A:$A, 0), MATCH("✏️ UF DISTRIBUIR (Escriba Aquí)", FICHAS!$3:$3, 0)) / COUNTIF(A:A, A100), 0))</f>
        <v>0</v>
      </c>
      <c r="J100" s="3"/>
      <c r="K100" s="4">
        <f t="shared" si="1"/>
        <v>0</v>
      </c>
    </row>
    <row r="101" spans="1:11" ht="19.95" customHeight="1" x14ac:dyDescent="0.3">
      <c r="A101" s="3"/>
      <c r="B101" s="3"/>
      <c r="C101" s="4"/>
      <c r="D101" s="4"/>
      <c r="E101" s="4"/>
      <c r="F101" s="4"/>
      <c r="G101" s="4"/>
      <c r="H101" s="4"/>
      <c r="I101" s="4">
        <f>IF(ISNUMBER(J101), J101, IFERROR(INDEX(FICHAS!$A:$AAA, MATCH(A101, FICHAS!$A:$A, 0), MATCH("✏️ UF DISTRIBUIR (Escriba Aquí)", FICHAS!$3:$3, 0)) / COUNTIF(A:A, A101), 0))</f>
        <v>0</v>
      </c>
      <c r="J101" s="3"/>
      <c r="K101" s="4">
        <f t="shared" si="1"/>
        <v>0</v>
      </c>
    </row>
    <row r="102" spans="1:11" ht="19.95" customHeight="1" x14ac:dyDescent="0.3">
      <c r="A102" s="3"/>
      <c r="B102" s="3"/>
      <c r="C102" s="4"/>
      <c r="D102" s="4"/>
      <c r="E102" s="4"/>
      <c r="F102" s="4"/>
      <c r="G102" s="4"/>
      <c r="H102" s="4"/>
      <c r="I102" s="4">
        <f>IF(ISNUMBER(J102), J102, IFERROR(INDEX(FICHAS!$A:$AAA, MATCH(A102, FICHAS!$A:$A, 0), MATCH("✏️ UF DISTRIBUIR (Escriba Aquí)", FICHAS!$3:$3, 0)) / COUNTIF(A:A, A102), 0))</f>
        <v>0</v>
      </c>
      <c r="J102" s="3"/>
      <c r="K102" s="4">
        <f t="shared" si="1"/>
        <v>0</v>
      </c>
    </row>
    <row r="103" spans="1:11" ht="19.95" customHeight="1" x14ac:dyDescent="0.3">
      <c r="A103" s="3"/>
      <c r="B103" s="3"/>
      <c r="C103" s="4"/>
      <c r="D103" s="4"/>
      <c r="E103" s="4"/>
      <c r="F103" s="4"/>
      <c r="G103" s="4"/>
      <c r="H103" s="4"/>
      <c r="I103" s="4">
        <f>IF(ISNUMBER(J103), J103, IFERROR(INDEX(FICHAS!$A:$AAA, MATCH(A103, FICHAS!$A:$A, 0), MATCH("✏️ UF DISTRIBUIR (Escriba Aquí)", FICHAS!$3:$3, 0)) / COUNTIF(A:A, A103), 0))</f>
        <v>0</v>
      </c>
      <c r="J103" s="3"/>
      <c r="K103" s="4">
        <f t="shared" si="1"/>
        <v>0</v>
      </c>
    </row>
    <row r="104" spans="1:11" ht="19.95" customHeight="1" x14ac:dyDescent="0.3">
      <c r="A104" s="3"/>
      <c r="B104" s="3"/>
      <c r="C104" s="4"/>
      <c r="D104" s="4"/>
      <c r="E104" s="4"/>
      <c r="F104" s="4"/>
      <c r="G104" s="4"/>
      <c r="H104" s="4"/>
      <c r="I104" s="4">
        <f>IF(ISNUMBER(J104), J104, IFERROR(INDEX(FICHAS!$A:$AAA, MATCH(A104, FICHAS!$A:$A, 0), MATCH("✏️ UF DISTRIBUIR (Escriba Aquí)", FICHAS!$3:$3, 0)) / COUNTIF(A:A, A104), 0))</f>
        <v>0</v>
      </c>
      <c r="J104" s="3"/>
      <c r="K104" s="4">
        <f t="shared" si="1"/>
        <v>0</v>
      </c>
    </row>
    <row r="105" spans="1:11" ht="19.95" customHeight="1" x14ac:dyDescent="0.3">
      <c r="A105" s="3"/>
      <c r="B105" s="3"/>
      <c r="C105" s="4"/>
      <c r="D105" s="4"/>
      <c r="E105" s="4"/>
      <c r="F105" s="4"/>
      <c r="G105" s="4"/>
      <c r="H105" s="4"/>
      <c r="I105" s="4">
        <f>IF(ISNUMBER(J105), J105, IFERROR(INDEX(FICHAS!$A:$AAA, MATCH(A105, FICHAS!$A:$A, 0), MATCH("✏️ UF DISTRIBUIR (Escriba Aquí)", FICHAS!$3:$3, 0)) / COUNTIF(A:A, A105), 0))</f>
        <v>0</v>
      </c>
      <c r="J105" s="3"/>
      <c r="K105" s="4">
        <f t="shared" si="1"/>
        <v>0</v>
      </c>
    </row>
    <row r="106" spans="1:11" ht="19.95" customHeight="1" x14ac:dyDescent="0.3">
      <c r="A106" s="3"/>
      <c r="B106" s="3"/>
      <c r="C106" s="4"/>
      <c r="D106" s="4"/>
      <c r="E106" s="4"/>
      <c r="F106" s="4"/>
      <c r="G106" s="4"/>
      <c r="H106" s="4"/>
      <c r="I106" s="4">
        <f>IF(ISNUMBER(J106), J106, IFERROR(INDEX(FICHAS!$A:$AAA, MATCH(A106, FICHAS!$A:$A, 0), MATCH("✏️ UF DISTRIBUIR (Escriba Aquí)", FICHAS!$3:$3, 0)) / COUNTIF(A:A, A106), 0))</f>
        <v>0</v>
      </c>
      <c r="J106" s="3"/>
      <c r="K106" s="4">
        <f t="shared" si="1"/>
        <v>0</v>
      </c>
    </row>
    <row r="107" spans="1:11" ht="19.95" customHeight="1" x14ac:dyDescent="0.3">
      <c r="A107" s="3"/>
      <c r="B107" s="3"/>
      <c r="C107" s="4"/>
      <c r="D107" s="4"/>
      <c r="E107" s="4"/>
      <c r="F107" s="4"/>
      <c r="G107" s="4"/>
      <c r="H107" s="4"/>
      <c r="I107" s="4">
        <f>IF(ISNUMBER(J107), J107, IFERROR(INDEX(FICHAS!$A:$AAA, MATCH(A107, FICHAS!$A:$A, 0), MATCH("✏️ UF DISTRIBUIR (Escriba Aquí)", FICHAS!$3:$3, 0)) / COUNTIF(A:A, A107), 0))</f>
        <v>0</v>
      </c>
      <c r="J107" s="3"/>
      <c r="K107" s="4">
        <f t="shared" si="1"/>
        <v>0</v>
      </c>
    </row>
    <row r="108" spans="1:11" ht="19.95" customHeight="1" x14ac:dyDescent="0.3">
      <c r="A108" s="3"/>
      <c r="B108" s="3"/>
      <c r="C108" s="4"/>
      <c r="D108" s="4"/>
      <c r="E108" s="4"/>
      <c r="F108" s="4"/>
      <c r="G108" s="4"/>
      <c r="H108" s="4"/>
      <c r="I108" s="4">
        <f>IF(ISNUMBER(J108), J108, IFERROR(INDEX(FICHAS!$A:$AAA, MATCH(A108, FICHAS!$A:$A, 0), MATCH("✏️ UF DISTRIBUIR (Escriba Aquí)", FICHAS!$3:$3, 0)) / COUNTIF(A:A, A108), 0))</f>
        <v>0</v>
      </c>
      <c r="J108" s="3"/>
      <c r="K108" s="4">
        <f t="shared" si="1"/>
        <v>0</v>
      </c>
    </row>
    <row r="109" spans="1:11" ht="19.95" customHeight="1" x14ac:dyDescent="0.3">
      <c r="A109" s="3"/>
      <c r="B109" s="3"/>
      <c r="C109" s="4"/>
      <c r="D109" s="4"/>
      <c r="E109" s="4"/>
      <c r="F109" s="4"/>
      <c r="G109" s="4"/>
      <c r="H109" s="4"/>
      <c r="I109" s="4">
        <f>IF(ISNUMBER(J109), J109, IFERROR(INDEX(FICHAS!$A:$AAA, MATCH(A109, FICHAS!$A:$A, 0), MATCH("✏️ UF DISTRIBUIR (Escriba Aquí)", FICHAS!$3:$3, 0)) / COUNTIF(A:A, A109), 0))</f>
        <v>0</v>
      </c>
      <c r="J109" s="3"/>
      <c r="K109" s="4">
        <f t="shared" si="1"/>
        <v>0</v>
      </c>
    </row>
    <row r="110" spans="1:11" ht="19.95" customHeight="1" x14ac:dyDescent="0.3">
      <c r="A110" s="3"/>
      <c r="B110" s="3"/>
      <c r="C110" s="4"/>
      <c r="D110" s="4"/>
      <c r="E110" s="4"/>
      <c r="F110" s="4"/>
      <c r="G110" s="4"/>
      <c r="H110" s="4"/>
      <c r="I110" s="4">
        <f>IF(ISNUMBER(J110), J110, IFERROR(INDEX(FICHAS!$A:$AAA, MATCH(A110, FICHAS!$A:$A, 0), MATCH("✏️ UF DISTRIBUIR (Escriba Aquí)", FICHAS!$3:$3, 0)) / COUNTIF(A:A, A110), 0))</f>
        <v>0</v>
      </c>
      <c r="J110" s="3"/>
      <c r="K110" s="4">
        <f t="shared" si="1"/>
        <v>0</v>
      </c>
    </row>
    <row r="111" spans="1:11" ht="19.95" customHeight="1" x14ac:dyDescent="0.3">
      <c r="A111" s="3"/>
      <c r="B111" s="3"/>
      <c r="C111" s="4"/>
      <c r="D111" s="4"/>
      <c r="E111" s="4"/>
      <c r="F111" s="4"/>
      <c r="G111" s="4"/>
      <c r="H111" s="4"/>
      <c r="I111" s="4">
        <f>IF(ISNUMBER(J111), J111, IFERROR(INDEX(FICHAS!$A:$AAA, MATCH(A111, FICHAS!$A:$A, 0), MATCH("✏️ UF DISTRIBUIR (Escriba Aquí)", FICHAS!$3:$3, 0)) / COUNTIF(A:A, A111), 0))</f>
        <v>0</v>
      </c>
      <c r="J111" s="3"/>
      <c r="K111" s="4">
        <f t="shared" si="1"/>
        <v>0</v>
      </c>
    </row>
    <row r="112" spans="1:11" ht="19.95" customHeight="1" x14ac:dyDescent="0.3">
      <c r="A112" s="3"/>
      <c r="B112" s="3"/>
      <c r="C112" s="4"/>
      <c r="D112" s="4"/>
      <c r="E112" s="4"/>
      <c r="F112" s="4"/>
      <c r="G112" s="4"/>
      <c r="H112" s="4"/>
      <c r="I112" s="4">
        <f>IF(ISNUMBER(J112), J112, IFERROR(INDEX(FICHAS!$A:$AAA, MATCH(A112, FICHAS!$A:$A, 0), MATCH("✏️ UF DISTRIBUIR (Escriba Aquí)", FICHAS!$3:$3, 0)) / COUNTIF(A:A, A112), 0))</f>
        <v>0</v>
      </c>
      <c r="J112" s="3"/>
      <c r="K112" s="4">
        <f t="shared" si="1"/>
        <v>0</v>
      </c>
    </row>
    <row r="113" spans="1:11" ht="19.95" customHeight="1" x14ac:dyDescent="0.3">
      <c r="A113" s="3"/>
      <c r="B113" s="3"/>
      <c r="C113" s="4"/>
      <c r="D113" s="4"/>
      <c r="E113" s="4"/>
      <c r="F113" s="4"/>
      <c r="G113" s="4"/>
      <c r="H113" s="4"/>
      <c r="I113" s="4">
        <f>IF(ISNUMBER(J113), J113, IFERROR(INDEX(FICHAS!$A:$AAA, MATCH(A113, FICHAS!$A:$A, 0), MATCH("✏️ UF DISTRIBUIR (Escriba Aquí)", FICHAS!$3:$3, 0)) / COUNTIF(A:A, A113), 0))</f>
        <v>0</v>
      </c>
      <c r="J113" s="3"/>
      <c r="K113" s="4">
        <f t="shared" si="1"/>
        <v>0</v>
      </c>
    </row>
    <row r="114" spans="1:11" ht="19.95" customHeight="1" x14ac:dyDescent="0.3">
      <c r="A114" s="3"/>
      <c r="B114" s="3"/>
      <c r="C114" s="4"/>
      <c r="D114" s="4"/>
      <c r="E114" s="4"/>
      <c r="F114" s="4"/>
      <c r="G114" s="4"/>
      <c r="H114" s="4"/>
      <c r="I114" s="4">
        <f>IF(ISNUMBER(J114), J114, IFERROR(INDEX(FICHAS!$A:$AAA, MATCH(A114, FICHAS!$A:$A, 0), MATCH("✏️ UF DISTRIBUIR (Escriba Aquí)", FICHAS!$3:$3, 0)) / COUNTIF(A:A, A114), 0))</f>
        <v>0</v>
      </c>
      <c r="J114" s="3"/>
      <c r="K114" s="4">
        <f t="shared" si="1"/>
        <v>0</v>
      </c>
    </row>
    <row r="115" spans="1:11" ht="19.95" customHeight="1" x14ac:dyDescent="0.3">
      <c r="A115" s="3"/>
      <c r="B115" s="3"/>
      <c r="C115" s="4"/>
      <c r="D115" s="4"/>
      <c r="E115" s="4"/>
      <c r="F115" s="4"/>
      <c r="G115" s="4"/>
      <c r="H115" s="4"/>
      <c r="I115" s="4">
        <f>IF(ISNUMBER(J115), J115, IFERROR(INDEX(FICHAS!$A:$AAA, MATCH(A115, FICHAS!$A:$A, 0), MATCH("✏️ UF DISTRIBUIR (Escriba Aquí)", FICHAS!$3:$3, 0)) / COUNTIF(A:A, A115), 0))</f>
        <v>0</v>
      </c>
      <c r="J115" s="3"/>
      <c r="K115" s="4">
        <f t="shared" si="1"/>
        <v>0</v>
      </c>
    </row>
    <row r="116" spans="1:11" ht="19.95" customHeight="1" x14ac:dyDescent="0.3">
      <c r="A116" s="3"/>
      <c r="B116" s="3"/>
      <c r="C116" s="4"/>
      <c r="D116" s="4"/>
      <c r="E116" s="4"/>
      <c r="F116" s="4"/>
      <c r="G116" s="4"/>
      <c r="H116" s="4"/>
      <c r="I116" s="4">
        <f>IF(ISNUMBER(J116), J116, IFERROR(INDEX(FICHAS!$A:$AAA, MATCH(A116, FICHAS!$A:$A, 0), MATCH("✏️ UF DISTRIBUIR (Escriba Aquí)", FICHAS!$3:$3, 0)) / COUNTIF(A:A, A116), 0))</f>
        <v>0</v>
      </c>
      <c r="J116" s="3"/>
      <c r="K116" s="4">
        <f t="shared" si="1"/>
        <v>0</v>
      </c>
    </row>
    <row r="117" spans="1:11" ht="19.95" customHeight="1" x14ac:dyDescent="0.3">
      <c r="A117" s="3"/>
      <c r="B117" s="3"/>
      <c r="C117" s="4"/>
      <c r="D117" s="4"/>
      <c r="E117" s="4"/>
      <c r="F117" s="4"/>
      <c r="G117" s="4"/>
      <c r="H117" s="4"/>
      <c r="I117" s="4">
        <f>IF(ISNUMBER(J117), J117, IFERROR(INDEX(FICHAS!$A:$AAA, MATCH(A117, FICHAS!$A:$A, 0), MATCH("✏️ UF DISTRIBUIR (Escriba Aquí)", FICHAS!$3:$3, 0)) / COUNTIF(A:A, A117), 0))</f>
        <v>0</v>
      </c>
      <c r="J117" s="3"/>
      <c r="K117" s="4">
        <f t="shared" si="1"/>
        <v>0</v>
      </c>
    </row>
    <row r="118" spans="1:11" ht="19.95" customHeight="1" x14ac:dyDescent="0.3">
      <c r="A118" s="3"/>
      <c r="B118" s="3"/>
      <c r="C118" s="4"/>
      <c r="D118" s="4"/>
      <c r="E118" s="4"/>
      <c r="F118" s="4"/>
      <c r="G118" s="4"/>
      <c r="H118" s="4"/>
      <c r="I118" s="4">
        <f>IF(ISNUMBER(J118), J118, IFERROR(INDEX(FICHAS!$A:$AAA, MATCH(A118, FICHAS!$A:$A, 0), MATCH("✏️ UF DISTRIBUIR (Escriba Aquí)", FICHAS!$3:$3, 0)) / COUNTIF(A:A, A118), 0))</f>
        <v>0</v>
      </c>
      <c r="J118" s="3"/>
      <c r="K118" s="4">
        <f t="shared" si="1"/>
        <v>0</v>
      </c>
    </row>
    <row r="119" spans="1:11" ht="19.95" customHeight="1" x14ac:dyDescent="0.3">
      <c r="A119" s="3"/>
      <c r="B119" s="3"/>
      <c r="C119" s="4"/>
      <c r="D119" s="4"/>
      <c r="E119" s="4"/>
      <c r="F119" s="4"/>
      <c r="G119" s="4"/>
      <c r="H119" s="4"/>
      <c r="I119" s="4">
        <f>IF(ISNUMBER(J119), J119, IFERROR(INDEX(FICHAS!$A:$AAA, MATCH(A119, FICHAS!$A:$A, 0), MATCH("✏️ UF DISTRIBUIR (Escriba Aquí)", FICHAS!$3:$3, 0)) / COUNTIF(A:A, A119), 0))</f>
        <v>0</v>
      </c>
      <c r="J119" s="3"/>
      <c r="K119" s="4">
        <f t="shared" si="1"/>
        <v>0</v>
      </c>
    </row>
    <row r="120" spans="1:11" ht="19.95" customHeight="1" x14ac:dyDescent="0.3">
      <c r="A120" s="3"/>
      <c r="B120" s="3"/>
      <c r="C120" s="4"/>
      <c r="D120" s="4"/>
      <c r="E120" s="4"/>
      <c r="F120" s="4"/>
      <c r="G120" s="4"/>
      <c r="H120" s="4"/>
      <c r="I120" s="4">
        <f>IF(ISNUMBER(J120), J120, IFERROR(INDEX(FICHAS!$A:$AAA, MATCH(A120, FICHAS!$A:$A, 0), MATCH("✏️ UF DISTRIBUIR (Escriba Aquí)", FICHAS!$3:$3, 0)) / COUNTIF(A:A, A120), 0))</f>
        <v>0</v>
      </c>
      <c r="J120" s="3"/>
      <c r="K120" s="4">
        <f t="shared" si="1"/>
        <v>0</v>
      </c>
    </row>
    <row r="121" spans="1:11" ht="19.95" customHeight="1" x14ac:dyDescent="0.3">
      <c r="A121" s="3"/>
      <c r="B121" s="3"/>
      <c r="C121" s="4"/>
      <c r="D121" s="4"/>
      <c r="E121" s="4"/>
      <c r="F121" s="4"/>
      <c r="G121" s="4"/>
      <c r="H121" s="4"/>
      <c r="I121" s="4">
        <f>IF(ISNUMBER(J121), J121, IFERROR(INDEX(FICHAS!$A:$AAA, MATCH(A121, FICHAS!$A:$A, 0), MATCH("✏️ UF DISTRIBUIR (Escriba Aquí)", FICHAS!$3:$3, 0)) / COUNTIF(A:A, A121), 0))</f>
        <v>0</v>
      </c>
      <c r="J121" s="3"/>
      <c r="K121" s="4">
        <f t="shared" si="1"/>
        <v>0</v>
      </c>
    </row>
    <row r="122" spans="1:11" ht="19.95" customHeight="1" x14ac:dyDescent="0.3">
      <c r="A122" s="3"/>
      <c r="B122" s="3"/>
      <c r="C122" s="4"/>
      <c r="D122" s="4"/>
      <c r="E122" s="4"/>
      <c r="F122" s="4"/>
      <c r="G122" s="4"/>
      <c r="H122" s="4"/>
      <c r="I122" s="4">
        <f>IF(ISNUMBER(J122), J122, IFERROR(INDEX(FICHAS!$A:$AAA, MATCH(A122, FICHAS!$A:$A, 0), MATCH("✏️ UF DISTRIBUIR (Escriba Aquí)", FICHAS!$3:$3, 0)) / COUNTIF(A:A, A122), 0))</f>
        <v>0</v>
      </c>
      <c r="J122" s="3"/>
      <c r="K122" s="4">
        <f t="shared" si="1"/>
        <v>0</v>
      </c>
    </row>
    <row r="123" spans="1:11" ht="19.95" customHeight="1" x14ac:dyDescent="0.3">
      <c r="A123" s="3"/>
      <c r="B123" s="3"/>
      <c r="C123" s="4"/>
      <c r="D123" s="4"/>
      <c r="E123" s="4"/>
      <c r="F123" s="4"/>
      <c r="G123" s="4"/>
      <c r="H123" s="4"/>
      <c r="I123" s="4">
        <f>IF(ISNUMBER(J123), J123, IFERROR(INDEX(FICHAS!$A:$AAA, MATCH(A123, FICHAS!$A:$A, 0), MATCH("✏️ UF DISTRIBUIR (Escriba Aquí)", FICHAS!$3:$3, 0)) / COUNTIF(A:A, A123), 0))</f>
        <v>0</v>
      </c>
      <c r="J123" s="3"/>
      <c r="K123" s="4">
        <f t="shared" si="1"/>
        <v>0</v>
      </c>
    </row>
    <row r="124" spans="1:11" ht="19.95" customHeight="1" x14ac:dyDescent="0.3">
      <c r="A124" s="3"/>
      <c r="B124" s="3"/>
      <c r="C124" s="4"/>
      <c r="D124" s="4"/>
      <c r="E124" s="4"/>
      <c r="F124" s="4"/>
      <c r="G124" s="4"/>
      <c r="H124" s="4"/>
      <c r="I124" s="4">
        <f>IF(ISNUMBER(J124), J124, IFERROR(INDEX(FICHAS!$A:$AAA, MATCH(A124, FICHAS!$A:$A, 0), MATCH("✏️ UF DISTRIBUIR (Escriba Aquí)", FICHAS!$3:$3, 0)) / COUNTIF(A:A, A124), 0))</f>
        <v>0</v>
      </c>
      <c r="J124" s="3"/>
      <c r="K124" s="4">
        <f t="shared" si="1"/>
        <v>0</v>
      </c>
    </row>
    <row r="125" spans="1:11" ht="19.95" customHeight="1" x14ac:dyDescent="0.3">
      <c r="A125" s="3"/>
      <c r="B125" s="3"/>
      <c r="C125" s="4"/>
      <c r="D125" s="4"/>
      <c r="E125" s="4"/>
      <c r="F125" s="4"/>
      <c r="G125" s="4"/>
      <c r="H125" s="4"/>
      <c r="I125" s="4">
        <f>IF(ISNUMBER(J125), J125, IFERROR(INDEX(FICHAS!$A:$AAA, MATCH(A125, FICHAS!$A:$A, 0), MATCH("✏️ UF DISTRIBUIR (Escriba Aquí)", FICHAS!$3:$3, 0)) / COUNTIF(A:A, A125), 0))</f>
        <v>0</v>
      </c>
      <c r="J125" s="3"/>
      <c r="K125" s="4">
        <f t="shared" si="1"/>
        <v>0</v>
      </c>
    </row>
    <row r="126" spans="1:11" ht="19.95" customHeight="1" x14ac:dyDescent="0.3">
      <c r="A126" s="3"/>
      <c r="B126" s="3"/>
      <c r="C126" s="4"/>
      <c r="D126" s="4"/>
      <c r="E126" s="4"/>
      <c r="F126" s="4"/>
      <c r="G126" s="4"/>
      <c r="H126" s="4"/>
      <c r="I126" s="4">
        <f>IF(ISNUMBER(J126), J126, IFERROR(INDEX(FICHAS!$A:$AAA, MATCH(A126, FICHAS!$A:$A, 0), MATCH("✏️ UF DISTRIBUIR (Escriba Aquí)", FICHAS!$3:$3, 0)) / COUNTIF(A:A, A126), 0))</f>
        <v>0</v>
      </c>
      <c r="J126" s="3"/>
      <c r="K126" s="4">
        <f t="shared" si="1"/>
        <v>0</v>
      </c>
    </row>
    <row r="127" spans="1:11" ht="19.95" customHeight="1" x14ac:dyDescent="0.3">
      <c r="A127" s="3"/>
      <c r="B127" s="3"/>
      <c r="C127" s="4"/>
      <c r="D127" s="4"/>
      <c r="E127" s="4"/>
      <c r="F127" s="4"/>
      <c r="G127" s="4"/>
      <c r="H127" s="4"/>
      <c r="I127" s="4">
        <f>IF(ISNUMBER(J127), J127, IFERROR(INDEX(FICHAS!$A:$AAA, MATCH(A127, FICHAS!$A:$A, 0), MATCH("✏️ UF DISTRIBUIR (Escriba Aquí)", FICHAS!$3:$3, 0)) / COUNTIF(A:A, A127), 0))</f>
        <v>0</v>
      </c>
      <c r="J127" s="3"/>
      <c r="K127" s="4">
        <f t="shared" si="1"/>
        <v>0</v>
      </c>
    </row>
    <row r="128" spans="1:11" ht="19.95" customHeight="1" x14ac:dyDescent="0.3">
      <c r="A128" s="3"/>
      <c r="B128" s="3"/>
      <c r="C128" s="4"/>
      <c r="D128" s="4"/>
      <c r="E128" s="4"/>
      <c r="F128" s="4"/>
      <c r="G128" s="4"/>
      <c r="H128" s="4"/>
      <c r="I128" s="4">
        <f>IF(ISNUMBER(J128), J128, IFERROR(INDEX(FICHAS!$A:$AAA, MATCH(A128, FICHAS!$A:$A, 0), MATCH("✏️ UF DISTRIBUIR (Escriba Aquí)", FICHAS!$3:$3, 0)) / COUNTIF(A:A, A128), 0))</f>
        <v>0</v>
      </c>
      <c r="J128" s="3"/>
      <c r="K128" s="4">
        <f t="shared" si="1"/>
        <v>0</v>
      </c>
    </row>
    <row r="129" spans="1:11" ht="19.95" customHeight="1" x14ac:dyDescent="0.3">
      <c r="A129" s="3"/>
      <c r="B129" s="3"/>
      <c r="C129" s="4"/>
      <c r="D129" s="4"/>
      <c r="E129" s="4"/>
      <c r="F129" s="4"/>
      <c r="G129" s="4"/>
      <c r="H129" s="4"/>
      <c r="I129" s="4">
        <f>IF(ISNUMBER(J129), J129, IFERROR(INDEX(FICHAS!$A:$AAA, MATCH(A129, FICHAS!$A:$A, 0), MATCH("✏️ UF DISTRIBUIR (Escriba Aquí)", FICHAS!$3:$3, 0)) / COUNTIF(A:A, A129), 0))</f>
        <v>0</v>
      </c>
      <c r="J129" s="3"/>
      <c r="K129" s="4">
        <f t="shared" si="1"/>
        <v>0</v>
      </c>
    </row>
    <row r="130" spans="1:11" ht="19.95" customHeight="1" x14ac:dyDescent="0.3">
      <c r="A130" s="3"/>
      <c r="B130" s="3"/>
      <c r="C130" s="4"/>
      <c r="D130" s="4"/>
      <c r="E130" s="4"/>
      <c r="F130" s="4"/>
      <c r="G130" s="4"/>
      <c r="H130" s="4"/>
      <c r="I130" s="4">
        <f>IF(ISNUMBER(J130), J130, IFERROR(INDEX(FICHAS!$A:$AAA, MATCH(A130, FICHAS!$A:$A, 0), MATCH("✏️ UF DISTRIBUIR (Escriba Aquí)", FICHAS!$3:$3, 0)) / COUNTIF(A:A, A130), 0))</f>
        <v>0</v>
      </c>
      <c r="J130" s="3"/>
      <c r="K130" s="4">
        <f t="shared" si="1"/>
        <v>0</v>
      </c>
    </row>
    <row r="131" spans="1:11" ht="19.95" customHeight="1" x14ac:dyDescent="0.3">
      <c r="A131" s="3"/>
      <c r="B131" s="3"/>
      <c r="C131" s="4"/>
      <c r="D131" s="4"/>
      <c r="E131" s="4"/>
      <c r="F131" s="4"/>
      <c r="G131" s="4"/>
      <c r="H131" s="4"/>
      <c r="I131" s="4">
        <f>IF(ISNUMBER(J131), J131, IFERROR(INDEX(FICHAS!$A:$AAA, MATCH(A131, FICHAS!$A:$A, 0), MATCH("✏️ UF DISTRIBUIR (Escriba Aquí)", FICHAS!$3:$3, 0)) / COUNTIF(A:A, A131), 0))</f>
        <v>0</v>
      </c>
      <c r="J131" s="3"/>
      <c r="K131" s="4">
        <f t="shared" si="1"/>
        <v>0</v>
      </c>
    </row>
    <row r="132" spans="1:11" ht="19.95" customHeight="1" x14ac:dyDescent="0.3">
      <c r="A132" s="3"/>
      <c r="B132" s="3"/>
      <c r="C132" s="4"/>
      <c r="D132" s="4"/>
      <c r="E132" s="4"/>
      <c r="F132" s="4"/>
      <c r="G132" s="4"/>
      <c r="H132" s="4"/>
      <c r="I132" s="4">
        <f>IF(ISNUMBER(J132), J132, IFERROR(INDEX(FICHAS!$A:$AAA, MATCH(A132, FICHAS!$A:$A, 0), MATCH("✏️ UF DISTRIBUIR (Escriba Aquí)", FICHAS!$3:$3, 0)) / COUNTIF(A:A, A132), 0))</f>
        <v>0</v>
      </c>
      <c r="J132" s="3"/>
      <c r="K132" s="4">
        <f t="shared" si="1"/>
        <v>0</v>
      </c>
    </row>
    <row r="133" spans="1:11" ht="19.95" customHeight="1" x14ac:dyDescent="0.3">
      <c r="A133" s="3"/>
      <c r="B133" s="3"/>
      <c r="C133" s="4"/>
      <c r="D133" s="4"/>
      <c r="E133" s="4"/>
      <c r="F133" s="4"/>
      <c r="G133" s="4"/>
      <c r="H133" s="4"/>
      <c r="I133" s="4">
        <f>IF(ISNUMBER(J133), J133, IFERROR(INDEX(FICHAS!$A:$AAA, MATCH(A133, FICHAS!$A:$A, 0), MATCH("✏️ UF DISTRIBUIR (Escriba Aquí)", FICHAS!$3:$3, 0)) / COUNTIF(A:A, A133), 0))</f>
        <v>0</v>
      </c>
      <c r="J133" s="3"/>
      <c r="K133" s="4">
        <f t="shared" si="1"/>
        <v>0</v>
      </c>
    </row>
    <row r="134" spans="1:11" ht="19.95" customHeight="1" x14ac:dyDescent="0.3">
      <c r="A134" s="3"/>
      <c r="B134" s="3"/>
      <c r="C134" s="4"/>
      <c r="D134" s="4"/>
      <c r="E134" s="4"/>
      <c r="F134" s="4"/>
      <c r="G134" s="4"/>
      <c r="H134" s="4"/>
      <c r="I134" s="4">
        <f>IF(ISNUMBER(J134), J134, IFERROR(INDEX(FICHAS!$A:$AAA, MATCH(A134, FICHAS!$A:$A, 0), MATCH("✏️ UF DISTRIBUIR (Escriba Aquí)", FICHAS!$3:$3, 0)) / COUNTIF(A:A, A134), 0))</f>
        <v>0</v>
      </c>
      <c r="J134" s="3"/>
      <c r="K134" s="4">
        <f t="shared" si="1"/>
        <v>0</v>
      </c>
    </row>
    <row r="135" spans="1:11" ht="19.95" customHeight="1" x14ac:dyDescent="0.3">
      <c r="A135" s="3"/>
      <c r="B135" s="3"/>
      <c r="C135" s="4"/>
      <c r="D135" s="4"/>
      <c r="E135" s="4"/>
      <c r="F135" s="4"/>
      <c r="G135" s="4"/>
      <c r="H135" s="4"/>
      <c r="I135" s="4">
        <f>IF(ISNUMBER(J135), J135, IFERROR(INDEX(FICHAS!$A:$AAA, MATCH(A135, FICHAS!$A:$A, 0), MATCH("✏️ UF DISTRIBUIR (Escriba Aquí)", FICHAS!$3:$3, 0)) / COUNTIF(A:A, A135), 0))</f>
        <v>0</v>
      </c>
      <c r="J135" s="3"/>
      <c r="K135" s="4">
        <f t="shared" si="1"/>
        <v>0</v>
      </c>
    </row>
    <row r="136" spans="1:11" ht="19.95" customHeight="1" x14ac:dyDescent="0.3">
      <c r="A136" s="3"/>
      <c r="B136" s="3"/>
      <c r="C136" s="4"/>
      <c r="D136" s="4"/>
      <c r="E136" s="4"/>
      <c r="F136" s="4"/>
      <c r="G136" s="4"/>
      <c r="H136" s="4"/>
      <c r="I136" s="4">
        <f>IF(ISNUMBER(J136), J136, IFERROR(INDEX(FICHAS!$A:$AAA, MATCH(A136, FICHAS!$A:$A, 0), MATCH("✏️ UF DISTRIBUIR (Escriba Aquí)", FICHAS!$3:$3, 0)) / COUNTIF(A:A, A136), 0))</f>
        <v>0</v>
      </c>
      <c r="J136" s="3"/>
      <c r="K136" s="4">
        <f t="shared" si="1"/>
        <v>0</v>
      </c>
    </row>
    <row r="137" spans="1:11" ht="19.95" customHeight="1" x14ac:dyDescent="0.3">
      <c r="A137" s="3"/>
      <c r="B137" s="3"/>
      <c r="C137" s="4"/>
      <c r="D137" s="4"/>
      <c r="E137" s="4"/>
      <c r="F137" s="4"/>
      <c r="G137" s="4"/>
      <c r="H137" s="4"/>
      <c r="I137" s="4">
        <f>IF(ISNUMBER(J137), J137, IFERROR(INDEX(FICHAS!$A:$AAA, MATCH(A137, FICHAS!$A:$A, 0), MATCH("✏️ UF DISTRIBUIR (Escriba Aquí)", FICHAS!$3:$3, 0)) / COUNTIF(A:A, A137), 0))</f>
        <v>0</v>
      </c>
      <c r="J137" s="3"/>
      <c r="K137" s="4">
        <f t="shared" ref="K137:K200" si="2">IF(A137&lt;&gt;"",COUNTIF($A$4:$A$513,A137),0)</f>
        <v>0</v>
      </c>
    </row>
    <row r="138" spans="1:11" ht="19.95" customHeight="1" x14ac:dyDescent="0.3">
      <c r="A138" s="3"/>
      <c r="B138" s="3"/>
      <c r="C138" s="4"/>
      <c r="D138" s="4"/>
      <c r="E138" s="4"/>
      <c r="F138" s="4"/>
      <c r="G138" s="4"/>
      <c r="H138" s="4"/>
      <c r="I138" s="4">
        <f>IF(ISNUMBER(J138), J138, IFERROR(INDEX(FICHAS!$A:$AAA, MATCH(A138, FICHAS!$A:$A, 0), MATCH("✏️ UF DISTRIBUIR (Escriba Aquí)", FICHAS!$3:$3, 0)) / COUNTIF(A:A, A138), 0))</f>
        <v>0</v>
      </c>
      <c r="J138" s="3"/>
      <c r="K138" s="4">
        <f t="shared" si="2"/>
        <v>0</v>
      </c>
    </row>
    <row r="139" spans="1:11" ht="19.95" customHeight="1" x14ac:dyDescent="0.3">
      <c r="A139" s="3"/>
      <c r="B139" s="3"/>
      <c r="C139" s="4"/>
      <c r="D139" s="4"/>
      <c r="E139" s="4"/>
      <c r="F139" s="4"/>
      <c r="G139" s="4"/>
      <c r="H139" s="4"/>
      <c r="I139" s="4">
        <f>IF(ISNUMBER(J139), J139, IFERROR(INDEX(FICHAS!$A:$AAA, MATCH(A139, FICHAS!$A:$A, 0), MATCH("✏️ UF DISTRIBUIR (Escriba Aquí)", FICHAS!$3:$3, 0)) / COUNTIF(A:A, A139), 0))</f>
        <v>0</v>
      </c>
      <c r="J139" s="3"/>
      <c r="K139" s="4">
        <f t="shared" si="2"/>
        <v>0</v>
      </c>
    </row>
    <row r="140" spans="1:11" ht="19.95" customHeight="1" x14ac:dyDescent="0.3">
      <c r="A140" s="3"/>
      <c r="B140" s="3"/>
      <c r="C140" s="4"/>
      <c r="D140" s="4"/>
      <c r="E140" s="4"/>
      <c r="F140" s="4"/>
      <c r="G140" s="4"/>
      <c r="H140" s="4"/>
      <c r="I140" s="4">
        <f>IF(ISNUMBER(J140), J140, IFERROR(INDEX(FICHAS!$A:$AAA, MATCH(A140, FICHAS!$A:$A, 0), MATCH("✏️ UF DISTRIBUIR (Escriba Aquí)", FICHAS!$3:$3, 0)) / COUNTIF(A:A, A140), 0))</f>
        <v>0</v>
      </c>
      <c r="J140" s="3"/>
      <c r="K140" s="4">
        <f t="shared" si="2"/>
        <v>0</v>
      </c>
    </row>
    <row r="141" spans="1:11" ht="19.95" customHeight="1" x14ac:dyDescent="0.3">
      <c r="A141" s="3"/>
      <c r="B141" s="3"/>
      <c r="C141" s="4"/>
      <c r="D141" s="4"/>
      <c r="E141" s="4"/>
      <c r="F141" s="4"/>
      <c r="G141" s="4"/>
      <c r="H141" s="4"/>
      <c r="I141" s="4">
        <f>IF(ISNUMBER(J141), J141, IFERROR(INDEX(FICHAS!$A:$AAA, MATCH(A141, FICHAS!$A:$A, 0), MATCH("✏️ UF DISTRIBUIR (Escriba Aquí)", FICHAS!$3:$3, 0)) / COUNTIF(A:A, A141), 0))</f>
        <v>0</v>
      </c>
      <c r="J141" s="3"/>
      <c r="K141" s="4">
        <f t="shared" si="2"/>
        <v>0</v>
      </c>
    </row>
    <row r="142" spans="1:11" ht="19.95" customHeight="1" x14ac:dyDescent="0.3">
      <c r="A142" s="3"/>
      <c r="B142" s="3"/>
      <c r="C142" s="4"/>
      <c r="D142" s="4"/>
      <c r="E142" s="4"/>
      <c r="F142" s="4"/>
      <c r="G142" s="4"/>
      <c r="H142" s="4"/>
      <c r="I142" s="4">
        <f>IF(ISNUMBER(J142), J142, IFERROR(INDEX(FICHAS!$A:$AAA, MATCH(A142, FICHAS!$A:$A, 0), MATCH("✏️ UF DISTRIBUIR (Escriba Aquí)", FICHAS!$3:$3, 0)) / COUNTIF(A:A, A142), 0))</f>
        <v>0</v>
      </c>
      <c r="J142" s="3"/>
      <c r="K142" s="4">
        <f t="shared" si="2"/>
        <v>0</v>
      </c>
    </row>
    <row r="143" spans="1:11" ht="19.95" customHeight="1" x14ac:dyDescent="0.3">
      <c r="A143" s="3"/>
      <c r="B143" s="3"/>
      <c r="C143" s="4"/>
      <c r="D143" s="4"/>
      <c r="E143" s="4"/>
      <c r="F143" s="4"/>
      <c r="G143" s="4"/>
      <c r="H143" s="4"/>
      <c r="I143" s="4">
        <f>IF(ISNUMBER(J143), J143, IFERROR(INDEX(FICHAS!$A:$AAA, MATCH(A143, FICHAS!$A:$A, 0), MATCH("✏️ UF DISTRIBUIR (Escriba Aquí)", FICHAS!$3:$3, 0)) / COUNTIF(A:A, A143), 0))</f>
        <v>0</v>
      </c>
      <c r="J143" s="3"/>
      <c r="K143" s="4">
        <f t="shared" si="2"/>
        <v>0</v>
      </c>
    </row>
    <row r="144" spans="1:11" ht="19.95" customHeight="1" x14ac:dyDescent="0.3">
      <c r="A144" s="3"/>
      <c r="B144" s="3"/>
      <c r="C144" s="4"/>
      <c r="D144" s="4"/>
      <c r="E144" s="4"/>
      <c r="F144" s="4"/>
      <c r="G144" s="4"/>
      <c r="H144" s="4"/>
      <c r="I144" s="4">
        <f>IF(ISNUMBER(J144), J144, IFERROR(INDEX(FICHAS!$A:$AAA, MATCH(A144, FICHAS!$A:$A, 0), MATCH("✏️ UF DISTRIBUIR (Escriba Aquí)", FICHAS!$3:$3, 0)) / COUNTIF(A:A, A144), 0))</f>
        <v>0</v>
      </c>
      <c r="J144" s="3"/>
      <c r="K144" s="4">
        <f t="shared" si="2"/>
        <v>0</v>
      </c>
    </row>
    <row r="145" spans="1:11" ht="19.95" customHeight="1" x14ac:dyDescent="0.3">
      <c r="A145" s="3"/>
      <c r="B145" s="3"/>
      <c r="C145" s="4"/>
      <c r="D145" s="4"/>
      <c r="E145" s="4"/>
      <c r="F145" s="4"/>
      <c r="G145" s="4"/>
      <c r="H145" s="4"/>
      <c r="I145" s="4">
        <f>IF(ISNUMBER(J145), J145, IFERROR(INDEX(FICHAS!$A:$AAA, MATCH(A145, FICHAS!$A:$A, 0), MATCH("✏️ UF DISTRIBUIR (Escriba Aquí)", FICHAS!$3:$3, 0)) / COUNTIF(A:A, A145), 0))</f>
        <v>0</v>
      </c>
      <c r="J145" s="3"/>
      <c r="K145" s="4">
        <f t="shared" si="2"/>
        <v>0</v>
      </c>
    </row>
    <row r="146" spans="1:11" ht="19.95" customHeight="1" x14ac:dyDescent="0.3">
      <c r="A146" s="3"/>
      <c r="B146" s="3"/>
      <c r="C146" s="4"/>
      <c r="D146" s="4"/>
      <c r="E146" s="4"/>
      <c r="F146" s="4"/>
      <c r="G146" s="4"/>
      <c r="H146" s="4"/>
      <c r="I146" s="4">
        <f>IF(ISNUMBER(J146), J146, IFERROR(INDEX(FICHAS!$A:$AAA, MATCH(A146, FICHAS!$A:$A, 0), MATCH("✏️ UF DISTRIBUIR (Escriba Aquí)", FICHAS!$3:$3, 0)) / COUNTIF(A:A, A146), 0))</f>
        <v>0</v>
      </c>
      <c r="J146" s="3"/>
      <c r="K146" s="4">
        <f t="shared" si="2"/>
        <v>0</v>
      </c>
    </row>
    <row r="147" spans="1:11" ht="19.95" customHeight="1" x14ac:dyDescent="0.3">
      <c r="A147" s="3"/>
      <c r="B147" s="3"/>
      <c r="C147" s="4"/>
      <c r="D147" s="4"/>
      <c r="E147" s="4"/>
      <c r="F147" s="4"/>
      <c r="G147" s="4"/>
      <c r="H147" s="4"/>
      <c r="I147" s="4">
        <f>IF(ISNUMBER(J147), J147, IFERROR(INDEX(FICHAS!$A:$AAA, MATCH(A147, FICHAS!$A:$A, 0), MATCH("✏️ UF DISTRIBUIR (Escriba Aquí)", FICHAS!$3:$3, 0)) / COUNTIF(A:A, A147), 0))</f>
        <v>0</v>
      </c>
      <c r="J147" s="3"/>
      <c r="K147" s="4">
        <f t="shared" si="2"/>
        <v>0</v>
      </c>
    </row>
    <row r="148" spans="1:11" ht="19.95" customHeight="1" x14ac:dyDescent="0.3">
      <c r="A148" s="3"/>
      <c r="B148" s="3"/>
      <c r="C148" s="4"/>
      <c r="D148" s="4"/>
      <c r="E148" s="4"/>
      <c r="F148" s="4"/>
      <c r="G148" s="4"/>
      <c r="H148" s="4"/>
      <c r="I148" s="4">
        <f>IF(ISNUMBER(J148), J148, IFERROR(INDEX(FICHAS!$A:$AAA, MATCH(A148, FICHAS!$A:$A, 0), MATCH("✏️ UF DISTRIBUIR (Escriba Aquí)", FICHAS!$3:$3, 0)) / COUNTIF(A:A, A148), 0))</f>
        <v>0</v>
      </c>
      <c r="J148" s="3"/>
      <c r="K148" s="4">
        <f t="shared" si="2"/>
        <v>0</v>
      </c>
    </row>
    <row r="149" spans="1:11" ht="19.95" customHeight="1" x14ac:dyDescent="0.3">
      <c r="A149" s="3"/>
      <c r="B149" s="3"/>
      <c r="C149" s="4"/>
      <c r="D149" s="4"/>
      <c r="E149" s="4"/>
      <c r="F149" s="4"/>
      <c r="G149" s="4"/>
      <c r="H149" s="4"/>
      <c r="I149" s="4">
        <f>IF(ISNUMBER(J149), J149, IFERROR(INDEX(FICHAS!$A:$AAA, MATCH(A149, FICHAS!$A:$A, 0), MATCH("✏️ UF DISTRIBUIR (Escriba Aquí)", FICHAS!$3:$3, 0)) / COUNTIF(A:A, A149), 0))</f>
        <v>0</v>
      </c>
      <c r="J149" s="3"/>
      <c r="K149" s="4">
        <f t="shared" si="2"/>
        <v>0</v>
      </c>
    </row>
    <row r="150" spans="1:11" ht="19.95" customHeight="1" x14ac:dyDescent="0.3">
      <c r="A150" s="3"/>
      <c r="B150" s="3"/>
      <c r="C150" s="4"/>
      <c r="D150" s="4"/>
      <c r="E150" s="4"/>
      <c r="F150" s="4"/>
      <c r="G150" s="4"/>
      <c r="H150" s="4"/>
      <c r="I150" s="4">
        <f>IF(ISNUMBER(J150), J150, IFERROR(INDEX(FICHAS!$A:$AAA, MATCH(A150, FICHAS!$A:$A, 0), MATCH("✏️ UF DISTRIBUIR (Escriba Aquí)", FICHAS!$3:$3, 0)) / COUNTIF(A:A, A150), 0))</f>
        <v>0</v>
      </c>
      <c r="J150" s="3"/>
      <c r="K150" s="4">
        <f t="shared" si="2"/>
        <v>0</v>
      </c>
    </row>
    <row r="151" spans="1:11" ht="19.95" customHeight="1" x14ac:dyDescent="0.3">
      <c r="A151" s="3"/>
      <c r="B151" s="3"/>
      <c r="C151" s="4"/>
      <c r="D151" s="4"/>
      <c r="E151" s="4"/>
      <c r="F151" s="4"/>
      <c r="G151" s="4"/>
      <c r="H151" s="4"/>
      <c r="I151" s="4">
        <f>IF(ISNUMBER(J151), J151, IFERROR(INDEX(FICHAS!$A:$AAA, MATCH(A151, FICHAS!$A:$A, 0), MATCH("✏️ UF DISTRIBUIR (Escriba Aquí)", FICHAS!$3:$3, 0)) / COUNTIF(A:A, A151), 0))</f>
        <v>0</v>
      </c>
      <c r="J151" s="3"/>
      <c r="K151" s="4">
        <f t="shared" si="2"/>
        <v>0</v>
      </c>
    </row>
    <row r="152" spans="1:11" ht="19.95" customHeight="1" x14ac:dyDescent="0.3">
      <c r="A152" s="3"/>
      <c r="B152" s="3"/>
      <c r="C152" s="4"/>
      <c r="D152" s="4"/>
      <c r="E152" s="4"/>
      <c r="F152" s="4"/>
      <c r="G152" s="4"/>
      <c r="H152" s="4"/>
      <c r="I152" s="4">
        <f>IF(ISNUMBER(J152), J152, IFERROR(INDEX(FICHAS!$A:$AAA, MATCH(A152, FICHAS!$A:$A, 0), MATCH("✏️ UF DISTRIBUIR (Escriba Aquí)", FICHAS!$3:$3, 0)) / COUNTIF(A:A, A152), 0))</f>
        <v>0</v>
      </c>
      <c r="J152" s="3"/>
      <c r="K152" s="4">
        <f t="shared" si="2"/>
        <v>0</v>
      </c>
    </row>
    <row r="153" spans="1:11" ht="19.95" customHeight="1" x14ac:dyDescent="0.3">
      <c r="A153" s="3"/>
      <c r="B153" s="3"/>
      <c r="C153" s="4"/>
      <c r="D153" s="4"/>
      <c r="E153" s="4"/>
      <c r="F153" s="4"/>
      <c r="G153" s="4"/>
      <c r="H153" s="4"/>
      <c r="I153" s="4">
        <f>IF(ISNUMBER(J153), J153, IFERROR(INDEX(FICHAS!$A:$AAA, MATCH(A153, FICHAS!$A:$A, 0), MATCH("✏️ UF DISTRIBUIR (Escriba Aquí)", FICHAS!$3:$3, 0)) / COUNTIF(A:A, A153), 0))</f>
        <v>0</v>
      </c>
      <c r="J153" s="3"/>
      <c r="K153" s="4">
        <f t="shared" si="2"/>
        <v>0</v>
      </c>
    </row>
    <row r="154" spans="1:11" ht="19.95" customHeight="1" x14ac:dyDescent="0.3">
      <c r="A154" s="3"/>
      <c r="B154" s="3"/>
      <c r="C154" s="4"/>
      <c r="D154" s="4"/>
      <c r="E154" s="4"/>
      <c r="F154" s="4"/>
      <c r="G154" s="4"/>
      <c r="H154" s="4"/>
      <c r="I154" s="4">
        <f>IF(ISNUMBER(J154), J154, IFERROR(INDEX(FICHAS!$A:$AAA, MATCH(A154, FICHAS!$A:$A, 0), MATCH("✏️ UF DISTRIBUIR (Escriba Aquí)", FICHAS!$3:$3, 0)) / COUNTIF(A:A, A154), 0))</f>
        <v>0</v>
      </c>
      <c r="J154" s="3"/>
      <c r="K154" s="4">
        <f t="shared" si="2"/>
        <v>0</v>
      </c>
    </row>
    <row r="155" spans="1:11" ht="19.95" customHeight="1" x14ac:dyDescent="0.3">
      <c r="A155" s="3"/>
      <c r="B155" s="3"/>
      <c r="C155" s="4"/>
      <c r="D155" s="4"/>
      <c r="E155" s="4"/>
      <c r="F155" s="4"/>
      <c r="G155" s="4"/>
      <c r="H155" s="4"/>
      <c r="I155" s="4">
        <f>IF(ISNUMBER(J155), J155, IFERROR(INDEX(FICHAS!$A:$AAA, MATCH(A155, FICHAS!$A:$A, 0), MATCH("✏️ UF DISTRIBUIR (Escriba Aquí)", FICHAS!$3:$3, 0)) / COUNTIF(A:A, A155), 0))</f>
        <v>0</v>
      </c>
      <c r="J155" s="3"/>
      <c r="K155" s="4">
        <f t="shared" si="2"/>
        <v>0</v>
      </c>
    </row>
    <row r="156" spans="1:11" ht="19.95" customHeight="1" x14ac:dyDescent="0.3">
      <c r="A156" s="3"/>
      <c r="B156" s="3"/>
      <c r="C156" s="4"/>
      <c r="D156" s="4"/>
      <c r="E156" s="4"/>
      <c r="F156" s="4"/>
      <c r="G156" s="4"/>
      <c r="H156" s="4"/>
      <c r="I156" s="4">
        <f>IF(ISNUMBER(J156), J156, IFERROR(INDEX(FICHAS!$A:$AAA, MATCH(A156, FICHAS!$A:$A, 0), MATCH("✏️ UF DISTRIBUIR (Escriba Aquí)", FICHAS!$3:$3, 0)) / COUNTIF(A:A, A156), 0))</f>
        <v>0</v>
      </c>
      <c r="J156" s="3"/>
      <c r="K156" s="4">
        <f t="shared" si="2"/>
        <v>0</v>
      </c>
    </row>
    <row r="157" spans="1:11" ht="19.95" customHeight="1" x14ac:dyDescent="0.3">
      <c r="A157" s="3"/>
      <c r="B157" s="3"/>
      <c r="C157" s="4"/>
      <c r="D157" s="4"/>
      <c r="E157" s="4"/>
      <c r="F157" s="4"/>
      <c r="G157" s="4"/>
      <c r="H157" s="4"/>
      <c r="I157" s="4">
        <f>IF(ISNUMBER(J157), J157, IFERROR(INDEX(FICHAS!$A:$AAA, MATCH(A157, FICHAS!$A:$A, 0), MATCH("✏️ UF DISTRIBUIR (Escriba Aquí)", FICHAS!$3:$3, 0)) / COUNTIF(A:A, A157), 0))</f>
        <v>0</v>
      </c>
      <c r="J157" s="3"/>
      <c r="K157" s="4">
        <f t="shared" si="2"/>
        <v>0</v>
      </c>
    </row>
    <row r="158" spans="1:11" ht="19.95" customHeight="1" x14ac:dyDescent="0.3">
      <c r="A158" s="3"/>
      <c r="B158" s="3"/>
      <c r="C158" s="4"/>
      <c r="D158" s="4"/>
      <c r="E158" s="4"/>
      <c r="F158" s="4"/>
      <c r="G158" s="4"/>
      <c r="H158" s="4"/>
      <c r="I158" s="4">
        <f>IF(ISNUMBER(J158), J158, IFERROR(INDEX(FICHAS!$A:$AAA, MATCH(A158, FICHAS!$A:$A, 0), MATCH("✏️ UF DISTRIBUIR (Escriba Aquí)", FICHAS!$3:$3, 0)) / COUNTIF(A:A, A158), 0))</f>
        <v>0</v>
      </c>
      <c r="J158" s="3"/>
      <c r="K158" s="4">
        <f t="shared" si="2"/>
        <v>0</v>
      </c>
    </row>
    <row r="159" spans="1:11" ht="19.95" customHeight="1" x14ac:dyDescent="0.3">
      <c r="A159" s="3"/>
      <c r="B159" s="3"/>
      <c r="C159" s="4"/>
      <c r="D159" s="4"/>
      <c r="E159" s="4"/>
      <c r="F159" s="4"/>
      <c r="G159" s="4"/>
      <c r="H159" s="4"/>
      <c r="I159" s="4">
        <f>IF(ISNUMBER(J159), J159, IFERROR(INDEX(FICHAS!$A:$AAA, MATCH(A159, FICHAS!$A:$A, 0), MATCH("✏️ UF DISTRIBUIR (Escriba Aquí)", FICHAS!$3:$3, 0)) / COUNTIF(A:A, A159), 0))</f>
        <v>0</v>
      </c>
      <c r="J159" s="3"/>
      <c r="K159" s="4">
        <f t="shared" si="2"/>
        <v>0</v>
      </c>
    </row>
    <row r="160" spans="1:11" ht="19.95" customHeight="1" x14ac:dyDescent="0.3">
      <c r="A160" s="3"/>
      <c r="B160" s="3"/>
      <c r="C160" s="4"/>
      <c r="D160" s="4"/>
      <c r="E160" s="4"/>
      <c r="F160" s="4"/>
      <c r="G160" s="4"/>
      <c r="H160" s="4"/>
      <c r="I160" s="4">
        <f>IF(ISNUMBER(J160), J160, IFERROR(INDEX(FICHAS!$A:$AAA, MATCH(A160, FICHAS!$A:$A, 0), MATCH("✏️ UF DISTRIBUIR (Escriba Aquí)", FICHAS!$3:$3, 0)) / COUNTIF(A:A, A160), 0))</f>
        <v>0</v>
      </c>
      <c r="J160" s="3"/>
      <c r="K160" s="4">
        <f t="shared" si="2"/>
        <v>0</v>
      </c>
    </row>
    <row r="161" spans="1:11" ht="19.95" customHeight="1" x14ac:dyDescent="0.3">
      <c r="A161" s="3"/>
      <c r="B161" s="3"/>
      <c r="C161" s="4"/>
      <c r="D161" s="4"/>
      <c r="E161" s="4"/>
      <c r="F161" s="4"/>
      <c r="G161" s="4"/>
      <c r="H161" s="4"/>
      <c r="I161" s="4">
        <f>IF(ISNUMBER(J161), J161, IFERROR(INDEX(FICHAS!$A:$AAA, MATCH(A161, FICHAS!$A:$A, 0), MATCH("✏️ UF DISTRIBUIR (Escriba Aquí)", FICHAS!$3:$3, 0)) / COUNTIF(A:A, A161), 0))</f>
        <v>0</v>
      </c>
      <c r="J161" s="3"/>
      <c r="K161" s="4">
        <f t="shared" si="2"/>
        <v>0</v>
      </c>
    </row>
    <row r="162" spans="1:11" ht="19.95" customHeight="1" x14ac:dyDescent="0.3">
      <c r="A162" s="3"/>
      <c r="B162" s="3"/>
      <c r="C162" s="4"/>
      <c r="D162" s="4"/>
      <c r="E162" s="4"/>
      <c r="F162" s="4"/>
      <c r="G162" s="4"/>
      <c r="H162" s="4"/>
      <c r="I162" s="4">
        <f>IF(ISNUMBER(J162), J162, IFERROR(INDEX(FICHAS!$A:$AAA, MATCH(A162, FICHAS!$A:$A, 0), MATCH("✏️ UF DISTRIBUIR (Escriba Aquí)", FICHAS!$3:$3, 0)) / COUNTIF(A:A, A162), 0))</f>
        <v>0</v>
      </c>
      <c r="J162" s="3"/>
      <c r="K162" s="4">
        <f t="shared" si="2"/>
        <v>0</v>
      </c>
    </row>
    <row r="163" spans="1:11" ht="19.95" customHeight="1" x14ac:dyDescent="0.3">
      <c r="A163" s="3"/>
      <c r="B163" s="3"/>
      <c r="C163" s="4"/>
      <c r="D163" s="4"/>
      <c r="E163" s="4"/>
      <c r="F163" s="4"/>
      <c r="G163" s="4"/>
      <c r="H163" s="4"/>
      <c r="I163" s="4">
        <f>IF(ISNUMBER(J163), J163, IFERROR(INDEX(FICHAS!$A:$AAA, MATCH(A163, FICHAS!$A:$A, 0), MATCH("✏️ UF DISTRIBUIR (Escriba Aquí)", FICHAS!$3:$3, 0)) / COUNTIF(A:A, A163), 0))</f>
        <v>0</v>
      </c>
      <c r="J163" s="3"/>
      <c r="K163" s="4">
        <f t="shared" si="2"/>
        <v>0</v>
      </c>
    </row>
    <row r="164" spans="1:11" ht="19.95" customHeight="1" x14ac:dyDescent="0.3">
      <c r="A164" s="3"/>
      <c r="B164" s="3"/>
      <c r="C164" s="4"/>
      <c r="D164" s="4"/>
      <c r="E164" s="4"/>
      <c r="F164" s="4"/>
      <c r="G164" s="4"/>
      <c r="H164" s="4"/>
      <c r="I164" s="4">
        <f>IF(ISNUMBER(J164), J164, IFERROR(INDEX(FICHAS!$A:$AAA, MATCH(A164, FICHAS!$A:$A, 0), MATCH("✏️ UF DISTRIBUIR (Escriba Aquí)", FICHAS!$3:$3, 0)) / COUNTIF(A:A, A164), 0))</f>
        <v>0</v>
      </c>
      <c r="J164" s="3"/>
      <c r="K164" s="4">
        <f t="shared" si="2"/>
        <v>0</v>
      </c>
    </row>
    <row r="165" spans="1:11" ht="19.95" customHeight="1" x14ac:dyDescent="0.3">
      <c r="A165" s="3"/>
      <c r="B165" s="3"/>
      <c r="C165" s="4"/>
      <c r="D165" s="4"/>
      <c r="E165" s="4"/>
      <c r="F165" s="4"/>
      <c r="G165" s="4"/>
      <c r="H165" s="4"/>
      <c r="I165" s="4">
        <f>IF(ISNUMBER(J165), J165, IFERROR(INDEX(FICHAS!$A:$AAA, MATCH(A165, FICHAS!$A:$A, 0), MATCH("✏️ UF DISTRIBUIR (Escriba Aquí)", FICHAS!$3:$3, 0)) / COUNTIF(A:A, A165), 0))</f>
        <v>0</v>
      </c>
      <c r="J165" s="3"/>
      <c r="K165" s="4">
        <f t="shared" si="2"/>
        <v>0</v>
      </c>
    </row>
    <row r="166" spans="1:11" ht="19.95" customHeight="1" x14ac:dyDescent="0.3">
      <c r="A166" s="3"/>
      <c r="B166" s="3"/>
      <c r="C166" s="4"/>
      <c r="D166" s="4"/>
      <c r="E166" s="4"/>
      <c r="F166" s="4"/>
      <c r="G166" s="4"/>
      <c r="H166" s="4"/>
      <c r="I166" s="4">
        <f>IF(ISNUMBER(J166), J166, IFERROR(INDEX(FICHAS!$A:$AAA, MATCH(A166, FICHAS!$A:$A, 0), MATCH("✏️ UF DISTRIBUIR (Escriba Aquí)", FICHAS!$3:$3, 0)) / COUNTIF(A:A, A166), 0))</f>
        <v>0</v>
      </c>
      <c r="J166" s="3"/>
      <c r="K166" s="4">
        <f t="shared" si="2"/>
        <v>0</v>
      </c>
    </row>
    <row r="167" spans="1:11" ht="19.95" customHeight="1" x14ac:dyDescent="0.3">
      <c r="A167" s="3"/>
      <c r="B167" s="3"/>
      <c r="C167" s="4"/>
      <c r="D167" s="4"/>
      <c r="E167" s="4"/>
      <c r="F167" s="4"/>
      <c r="G167" s="4"/>
      <c r="H167" s="4"/>
      <c r="I167" s="4">
        <f>IF(ISNUMBER(J167), J167, IFERROR(INDEX(FICHAS!$A:$AAA, MATCH(A167, FICHAS!$A:$A, 0), MATCH("✏️ UF DISTRIBUIR (Escriba Aquí)", FICHAS!$3:$3, 0)) / COUNTIF(A:A, A167), 0))</f>
        <v>0</v>
      </c>
      <c r="J167" s="3"/>
      <c r="K167" s="4">
        <f t="shared" si="2"/>
        <v>0</v>
      </c>
    </row>
    <row r="168" spans="1:11" ht="19.95" customHeight="1" x14ac:dyDescent="0.3">
      <c r="A168" s="3"/>
      <c r="B168" s="3"/>
      <c r="C168" s="4"/>
      <c r="D168" s="4"/>
      <c r="E168" s="4"/>
      <c r="F168" s="4"/>
      <c r="G168" s="4"/>
      <c r="H168" s="4"/>
      <c r="I168" s="4">
        <f>IF(ISNUMBER(J168), J168, IFERROR(INDEX(FICHAS!$A:$AAA, MATCH(A168, FICHAS!$A:$A, 0), MATCH("✏️ UF DISTRIBUIR (Escriba Aquí)", FICHAS!$3:$3, 0)) / COUNTIF(A:A, A168), 0))</f>
        <v>0</v>
      </c>
      <c r="J168" s="3"/>
      <c r="K168" s="4">
        <f t="shared" si="2"/>
        <v>0</v>
      </c>
    </row>
    <row r="169" spans="1:11" ht="19.95" customHeight="1" x14ac:dyDescent="0.3">
      <c r="A169" s="3"/>
      <c r="B169" s="3"/>
      <c r="C169" s="4"/>
      <c r="D169" s="4"/>
      <c r="E169" s="4"/>
      <c r="F169" s="4"/>
      <c r="G169" s="4"/>
      <c r="H169" s="4"/>
      <c r="I169" s="4">
        <f>IF(ISNUMBER(J169), J169, IFERROR(INDEX(FICHAS!$A:$AAA, MATCH(A169, FICHAS!$A:$A, 0), MATCH("✏️ UF DISTRIBUIR (Escriba Aquí)", FICHAS!$3:$3, 0)) / COUNTIF(A:A, A169), 0))</f>
        <v>0</v>
      </c>
      <c r="J169" s="3"/>
      <c r="K169" s="4">
        <f t="shared" si="2"/>
        <v>0</v>
      </c>
    </row>
    <row r="170" spans="1:11" ht="19.95" customHeight="1" x14ac:dyDescent="0.3">
      <c r="A170" s="3"/>
      <c r="B170" s="3"/>
      <c r="C170" s="4"/>
      <c r="D170" s="4"/>
      <c r="E170" s="4"/>
      <c r="F170" s="4"/>
      <c r="G170" s="4"/>
      <c r="H170" s="4"/>
      <c r="I170" s="4">
        <f>IF(ISNUMBER(J170), J170, IFERROR(INDEX(FICHAS!$A:$AAA, MATCH(A170, FICHAS!$A:$A, 0), MATCH("✏️ UF DISTRIBUIR (Escriba Aquí)", FICHAS!$3:$3, 0)) / COUNTIF(A:A, A170), 0))</f>
        <v>0</v>
      </c>
      <c r="J170" s="3"/>
      <c r="K170" s="4">
        <f t="shared" si="2"/>
        <v>0</v>
      </c>
    </row>
    <row r="171" spans="1:11" ht="19.95" customHeight="1" x14ac:dyDescent="0.3">
      <c r="A171" s="3"/>
      <c r="B171" s="3"/>
      <c r="C171" s="4"/>
      <c r="D171" s="4"/>
      <c r="E171" s="4"/>
      <c r="F171" s="4"/>
      <c r="G171" s="4"/>
      <c r="H171" s="4"/>
      <c r="I171" s="4">
        <f>IF(ISNUMBER(J171), J171, IFERROR(INDEX(FICHAS!$A:$AAA, MATCH(A171, FICHAS!$A:$A, 0), MATCH("✏️ UF DISTRIBUIR (Escriba Aquí)", FICHAS!$3:$3, 0)) / COUNTIF(A:A, A171), 0))</f>
        <v>0</v>
      </c>
      <c r="J171" s="3"/>
      <c r="K171" s="4">
        <f t="shared" si="2"/>
        <v>0</v>
      </c>
    </row>
    <row r="172" spans="1:11" ht="19.95" customHeight="1" x14ac:dyDescent="0.3">
      <c r="A172" s="3"/>
      <c r="B172" s="3"/>
      <c r="C172" s="4"/>
      <c r="D172" s="4"/>
      <c r="E172" s="4"/>
      <c r="F172" s="4"/>
      <c r="G172" s="4"/>
      <c r="H172" s="4"/>
      <c r="I172" s="4">
        <f>IF(ISNUMBER(J172), J172, IFERROR(INDEX(FICHAS!$A:$AAA, MATCH(A172, FICHAS!$A:$A, 0), MATCH("✏️ UF DISTRIBUIR (Escriba Aquí)", FICHAS!$3:$3, 0)) / COUNTIF(A:A, A172), 0))</f>
        <v>0</v>
      </c>
      <c r="J172" s="3"/>
      <c r="K172" s="4">
        <f t="shared" si="2"/>
        <v>0</v>
      </c>
    </row>
    <row r="173" spans="1:11" ht="19.95" customHeight="1" x14ac:dyDescent="0.3">
      <c r="A173" s="3"/>
      <c r="B173" s="3"/>
      <c r="C173" s="4"/>
      <c r="D173" s="4"/>
      <c r="E173" s="4"/>
      <c r="F173" s="4"/>
      <c r="G173" s="4"/>
      <c r="H173" s="4"/>
      <c r="I173" s="4">
        <f>IF(ISNUMBER(J173), J173, IFERROR(INDEX(FICHAS!$A:$AAA, MATCH(A173, FICHAS!$A:$A, 0), MATCH("✏️ UF DISTRIBUIR (Escriba Aquí)", FICHAS!$3:$3, 0)) / COUNTIF(A:A, A173), 0))</f>
        <v>0</v>
      </c>
      <c r="J173" s="3"/>
      <c r="K173" s="4">
        <f t="shared" si="2"/>
        <v>0</v>
      </c>
    </row>
    <row r="174" spans="1:11" ht="19.95" customHeight="1" x14ac:dyDescent="0.3">
      <c r="A174" s="3"/>
      <c r="B174" s="3"/>
      <c r="C174" s="4"/>
      <c r="D174" s="4"/>
      <c r="E174" s="4"/>
      <c r="F174" s="4"/>
      <c r="G174" s="4"/>
      <c r="H174" s="4"/>
      <c r="I174" s="4">
        <f>IF(ISNUMBER(J174), J174, IFERROR(INDEX(FICHAS!$A:$AAA, MATCH(A174, FICHAS!$A:$A, 0), MATCH("✏️ UF DISTRIBUIR (Escriba Aquí)", FICHAS!$3:$3, 0)) / COUNTIF(A:A, A174), 0))</f>
        <v>0</v>
      </c>
      <c r="J174" s="3"/>
      <c r="K174" s="4">
        <f t="shared" si="2"/>
        <v>0</v>
      </c>
    </row>
    <row r="175" spans="1:11" ht="19.95" customHeight="1" x14ac:dyDescent="0.3">
      <c r="A175" s="3"/>
      <c r="B175" s="3"/>
      <c r="C175" s="4"/>
      <c r="D175" s="4"/>
      <c r="E175" s="4"/>
      <c r="F175" s="4"/>
      <c r="G175" s="4"/>
      <c r="H175" s="4"/>
      <c r="I175" s="4">
        <f>IF(ISNUMBER(J175), J175, IFERROR(INDEX(FICHAS!$A:$AAA, MATCH(A175, FICHAS!$A:$A, 0), MATCH("✏️ UF DISTRIBUIR (Escriba Aquí)", FICHAS!$3:$3, 0)) / COUNTIF(A:A, A175), 0))</f>
        <v>0</v>
      </c>
      <c r="J175" s="3"/>
      <c r="K175" s="4">
        <f t="shared" si="2"/>
        <v>0</v>
      </c>
    </row>
    <row r="176" spans="1:11" ht="19.95" customHeight="1" x14ac:dyDescent="0.3">
      <c r="A176" s="3"/>
      <c r="B176" s="3"/>
      <c r="C176" s="4"/>
      <c r="D176" s="4"/>
      <c r="E176" s="4"/>
      <c r="F176" s="4"/>
      <c r="G176" s="4"/>
      <c r="H176" s="4"/>
      <c r="I176" s="4">
        <f>IF(ISNUMBER(J176), J176, IFERROR(INDEX(FICHAS!$A:$AAA, MATCH(A176, FICHAS!$A:$A, 0), MATCH("✏️ UF DISTRIBUIR (Escriba Aquí)", FICHAS!$3:$3, 0)) / COUNTIF(A:A, A176), 0))</f>
        <v>0</v>
      </c>
      <c r="J176" s="3"/>
      <c r="K176" s="4">
        <f t="shared" si="2"/>
        <v>0</v>
      </c>
    </row>
    <row r="177" spans="1:11" ht="19.95" customHeight="1" x14ac:dyDescent="0.3">
      <c r="A177" s="3"/>
      <c r="B177" s="3"/>
      <c r="C177" s="4"/>
      <c r="D177" s="4"/>
      <c r="E177" s="4"/>
      <c r="F177" s="4"/>
      <c r="G177" s="4"/>
      <c r="H177" s="4"/>
      <c r="I177" s="4">
        <f>IF(ISNUMBER(J177), J177, IFERROR(INDEX(FICHAS!$A:$AAA, MATCH(A177, FICHAS!$A:$A, 0), MATCH("✏️ UF DISTRIBUIR (Escriba Aquí)", FICHAS!$3:$3, 0)) / COUNTIF(A:A, A177), 0))</f>
        <v>0</v>
      </c>
      <c r="J177" s="3"/>
      <c r="K177" s="4">
        <f t="shared" si="2"/>
        <v>0</v>
      </c>
    </row>
    <row r="178" spans="1:11" ht="19.95" customHeight="1" x14ac:dyDescent="0.3">
      <c r="A178" s="3"/>
      <c r="B178" s="3"/>
      <c r="C178" s="4"/>
      <c r="D178" s="4"/>
      <c r="E178" s="4"/>
      <c r="F178" s="4"/>
      <c r="G178" s="4"/>
      <c r="H178" s="4"/>
      <c r="I178" s="4">
        <f>IF(ISNUMBER(J178), J178, IFERROR(INDEX(FICHAS!$A:$AAA, MATCH(A178, FICHAS!$A:$A, 0), MATCH("✏️ UF DISTRIBUIR (Escriba Aquí)", FICHAS!$3:$3, 0)) / COUNTIF(A:A, A178), 0))</f>
        <v>0</v>
      </c>
      <c r="J178" s="3"/>
      <c r="K178" s="4">
        <f t="shared" si="2"/>
        <v>0</v>
      </c>
    </row>
    <row r="179" spans="1:11" ht="19.95" customHeight="1" x14ac:dyDescent="0.3">
      <c r="A179" s="3"/>
      <c r="B179" s="3"/>
      <c r="C179" s="4"/>
      <c r="D179" s="4"/>
      <c r="E179" s="4"/>
      <c r="F179" s="4"/>
      <c r="G179" s="4"/>
      <c r="H179" s="4"/>
      <c r="I179" s="4">
        <f>IF(ISNUMBER(J179), J179, IFERROR(INDEX(FICHAS!$A:$AAA, MATCH(A179, FICHAS!$A:$A, 0), MATCH("✏️ UF DISTRIBUIR (Escriba Aquí)", FICHAS!$3:$3, 0)) / COUNTIF(A:A, A179), 0))</f>
        <v>0</v>
      </c>
      <c r="J179" s="3"/>
      <c r="K179" s="4">
        <f t="shared" si="2"/>
        <v>0</v>
      </c>
    </row>
    <row r="180" spans="1:11" ht="19.95" customHeight="1" x14ac:dyDescent="0.3">
      <c r="A180" s="3"/>
      <c r="B180" s="3"/>
      <c r="C180" s="4"/>
      <c r="D180" s="4"/>
      <c r="E180" s="4"/>
      <c r="F180" s="4"/>
      <c r="G180" s="4"/>
      <c r="H180" s="4"/>
      <c r="I180" s="4">
        <f>IF(ISNUMBER(J180), J180, IFERROR(INDEX(FICHAS!$A:$AAA, MATCH(A180, FICHAS!$A:$A, 0), MATCH("✏️ UF DISTRIBUIR (Escriba Aquí)", FICHAS!$3:$3, 0)) / COUNTIF(A:A, A180), 0))</f>
        <v>0</v>
      </c>
      <c r="J180" s="3"/>
      <c r="K180" s="4">
        <f t="shared" si="2"/>
        <v>0</v>
      </c>
    </row>
    <row r="181" spans="1:11" ht="19.95" customHeight="1" x14ac:dyDescent="0.3">
      <c r="A181" s="3"/>
      <c r="B181" s="3"/>
      <c r="C181" s="4"/>
      <c r="D181" s="4"/>
      <c r="E181" s="4"/>
      <c r="F181" s="4"/>
      <c r="G181" s="4"/>
      <c r="H181" s="4"/>
      <c r="I181" s="4">
        <f>IF(ISNUMBER(J181), J181, IFERROR(INDEX(FICHAS!$A:$AAA, MATCH(A181, FICHAS!$A:$A, 0), MATCH("✏️ UF DISTRIBUIR (Escriba Aquí)", FICHAS!$3:$3, 0)) / COUNTIF(A:A, A181), 0))</f>
        <v>0</v>
      </c>
      <c r="J181" s="3"/>
      <c r="K181" s="4">
        <f t="shared" si="2"/>
        <v>0</v>
      </c>
    </row>
    <row r="182" spans="1:11" ht="19.95" customHeight="1" x14ac:dyDescent="0.3">
      <c r="A182" s="3"/>
      <c r="B182" s="3"/>
      <c r="C182" s="4"/>
      <c r="D182" s="4"/>
      <c r="E182" s="4"/>
      <c r="F182" s="4"/>
      <c r="G182" s="4"/>
      <c r="H182" s="4"/>
      <c r="I182" s="4">
        <f>IF(ISNUMBER(J182), J182, IFERROR(INDEX(FICHAS!$A:$AAA, MATCH(A182, FICHAS!$A:$A, 0), MATCH("✏️ UF DISTRIBUIR (Escriba Aquí)", FICHAS!$3:$3, 0)) / COUNTIF(A:A, A182), 0))</f>
        <v>0</v>
      </c>
      <c r="J182" s="3"/>
      <c r="K182" s="4">
        <f t="shared" si="2"/>
        <v>0</v>
      </c>
    </row>
    <row r="183" spans="1:11" ht="19.95" customHeight="1" x14ac:dyDescent="0.3">
      <c r="A183" s="3"/>
      <c r="B183" s="3"/>
      <c r="C183" s="4"/>
      <c r="D183" s="4"/>
      <c r="E183" s="4"/>
      <c r="F183" s="4"/>
      <c r="G183" s="4"/>
      <c r="H183" s="4"/>
      <c r="I183" s="4">
        <f>IF(ISNUMBER(J183), J183, IFERROR(INDEX(FICHAS!$A:$AAA, MATCH(A183, FICHAS!$A:$A, 0), MATCH("✏️ UF DISTRIBUIR (Escriba Aquí)", FICHAS!$3:$3, 0)) / COUNTIF(A:A, A183), 0))</f>
        <v>0</v>
      </c>
      <c r="J183" s="3"/>
      <c r="K183" s="4">
        <f t="shared" si="2"/>
        <v>0</v>
      </c>
    </row>
    <row r="184" spans="1:11" ht="19.95" customHeight="1" x14ac:dyDescent="0.3">
      <c r="A184" s="3"/>
      <c r="B184" s="3"/>
      <c r="C184" s="4"/>
      <c r="D184" s="4"/>
      <c r="E184" s="4"/>
      <c r="F184" s="4"/>
      <c r="G184" s="4"/>
      <c r="H184" s="4"/>
      <c r="I184" s="4">
        <f>IF(ISNUMBER(J184), J184, IFERROR(INDEX(FICHAS!$A:$AAA, MATCH(A184, FICHAS!$A:$A, 0), MATCH("✏️ UF DISTRIBUIR (Escriba Aquí)", FICHAS!$3:$3, 0)) / COUNTIF(A:A, A184), 0))</f>
        <v>0</v>
      </c>
      <c r="J184" s="3"/>
      <c r="K184" s="4">
        <f t="shared" si="2"/>
        <v>0</v>
      </c>
    </row>
    <row r="185" spans="1:11" ht="19.95" customHeight="1" x14ac:dyDescent="0.3">
      <c r="A185" s="3"/>
      <c r="B185" s="3"/>
      <c r="C185" s="4"/>
      <c r="D185" s="4"/>
      <c r="E185" s="4"/>
      <c r="F185" s="4"/>
      <c r="G185" s="4"/>
      <c r="H185" s="4"/>
      <c r="I185" s="4">
        <f>IF(ISNUMBER(J185), J185, IFERROR(INDEX(FICHAS!$A:$AAA, MATCH(A185, FICHAS!$A:$A, 0), MATCH("✏️ UF DISTRIBUIR (Escriba Aquí)", FICHAS!$3:$3, 0)) / COUNTIF(A:A, A185), 0))</f>
        <v>0</v>
      </c>
      <c r="J185" s="3"/>
      <c r="K185" s="4">
        <f t="shared" si="2"/>
        <v>0</v>
      </c>
    </row>
    <row r="186" spans="1:11" ht="19.95" customHeight="1" x14ac:dyDescent="0.3">
      <c r="A186" s="3"/>
      <c r="B186" s="3"/>
      <c r="C186" s="4"/>
      <c r="D186" s="4"/>
      <c r="E186" s="4"/>
      <c r="F186" s="4"/>
      <c r="G186" s="4"/>
      <c r="H186" s="4"/>
      <c r="I186" s="4">
        <f>IF(ISNUMBER(J186), J186, IFERROR(INDEX(FICHAS!$A:$AAA, MATCH(A186, FICHAS!$A:$A, 0), MATCH("✏️ UF DISTRIBUIR (Escriba Aquí)", FICHAS!$3:$3, 0)) / COUNTIF(A:A, A186), 0))</f>
        <v>0</v>
      </c>
      <c r="J186" s="3"/>
      <c r="K186" s="4">
        <f t="shared" si="2"/>
        <v>0</v>
      </c>
    </row>
    <row r="187" spans="1:11" ht="19.95" customHeight="1" x14ac:dyDescent="0.3">
      <c r="A187" s="3"/>
      <c r="B187" s="3"/>
      <c r="C187" s="4"/>
      <c r="D187" s="4"/>
      <c r="E187" s="4"/>
      <c r="F187" s="4"/>
      <c r="G187" s="4"/>
      <c r="H187" s="4"/>
      <c r="I187" s="4">
        <f>IF(ISNUMBER(J187), J187, IFERROR(INDEX(FICHAS!$A:$AAA, MATCH(A187, FICHAS!$A:$A, 0), MATCH("✏️ UF DISTRIBUIR (Escriba Aquí)", FICHAS!$3:$3, 0)) / COUNTIF(A:A, A187), 0))</f>
        <v>0</v>
      </c>
      <c r="J187" s="3"/>
      <c r="K187" s="4">
        <f t="shared" si="2"/>
        <v>0</v>
      </c>
    </row>
    <row r="188" spans="1:11" ht="19.95" customHeight="1" x14ac:dyDescent="0.3">
      <c r="A188" s="3"/>
      <c r="B188" s="3"/>
      <c r="C188" s="4"/>
      <c r="D188" s="4"/>
      <c r="E188" s="4"/>
      <c r="F188" s="4"/>
      <c r="G188" s="4"/>
      <c r="H188" s="4"/>
      <c r="I188" s="4">
        <f>IF(ISNUMBER(J188), J188, IFERROR(INDEX(FICHAS!$A:$AAA, MATCH(A188, FICHAS!$A:$A, 0), MATCH("✏️ UF DISTRIBUIR (Escriba Aquí)", FICHAS!$3:$3, 0)) / COUNTIF(A:A, A188), 0))</f>
        <v>0</v>
      </c>
      <c r="J188" s="3"/>
      <c r="K188" s="4">
        <f t="shared" si="2"/>
        <v>0</v>
      </c>
    </row>
    <row r="189" spans="1:11" ht="19.95" customHeight="1" x14ac:dyDescent="0.3">
      <c r="A189" s="3"/>
      <c r="B189" s="3"/>
      <c r="C189" s="4"/>
      <c r="D189" s="4"/>
      <c r="E189" s="4"/>
      <c r="F189" s="4"/>
      <c r="G189" s="4"/>
      <c r="H189" s="4"/>
      <c r="I189" s="4">
        <f>IF(ISNUMBER(J189), J189, IFERROR(INDEX(FICHAS!$A:$AAA, MATCH(A189, FICHAS!$A:$A, 0), MATCH("✏️ UF DISTRIBUIR (Escriba Aquí)", FICHAS!$3:$3, 0)) / COUNTIF(A:A, A189), 0))</f>
        <v>0</v>
      </c>
      <c r="J189" s="3"/>
      <c r="K189" s="4">
        <f t="shared" si="2"/>
        <v>0</v>
      </c>
    </row>
    <row r="190" spans="1:11" ht="19.95" customHeight="1" x14ac:dyDescent="0.3">
      <c r="A190" s="3"/>
      <c r="B190" s="3"/>
      <c r="C190" s="4"/>
      <c r="D190" s="4"/>
      <c r="E190" s="4"/>
      <c r="F190" s="4"/>
      <c r="G190" s="4"/>
      <c r="H190" s="4"/>
      <c r="I190" s="4">
        <f>IF(ISNUMBER(J190), J190, IFERROR(INDEX(FICHAS!$A:$AAA, MATCH(A190, FICHAS!$A:$A, 0), MATCH("✏️ UF DISTRIBUIR (Escriba Aquí)", FICHAS!$3:$3, 0)) / COUNTIF(A:A, A190), 0))</f>
        <v>0</v>
      </c>
      <c r="J190" s="3"/>
      <c r="K190" s="4">
        <f t="shared" si="2"/>
        <v>0</v>
      </c>
    </row>
    <row r="191" spans="1:11" ht="19.95" customHeight="1" x14ac:dyDescent="0.3">
      <c r="A191" s="3"/>
      <c r="B191" s="3"/>
      <c r="C191" s="4"/>
      <c r="D191" s="4"/>
      <c r="E191" s="4"/>
      <c r="F191" s="4"/>
      <c r="G191" s="4"/>
      <c r="H191" s="4"/>
      <c r="I191" s="4">
        <f>IF(ISNUMBER(J191), J191, IFERROR(INDEX(FICHAS!$A:$AAA, MATCH(A191, FICHAS!$A:$A, 0), MATCH("✏️ UF DISTRIBUIR (Escriba Aquí)", FICHAS!$3:$3, 0)) / COUNTIF(A:A, A191), 0))</f>
        <v>0</v>
      </c>
      <c r="J191" s="3"/>
      <c r="K191" s="4">
        <f t="shared" si="2"/>
        <v>0</v>
      </c>
    </row>
    <row r="192" spans="1:11" ht="19.95" customHeight="1" x14ac:dyDescent="0.3">
      <c r="A192" s="3"/>
      <c r="B192" s="3"/>
      <c r="C192" s="4"/>
      <c r="D192" s="4"/>
      <c r="E192" s="4"/>
      <c r="F192" s="4"/>
      <c r="G192" s="4"/>
      <c r="H192" s="4"/>
      <c r="I192" s="4">
        <f>IF(ISNUMBER(J192), J192, IFERROR(INDEX(FICHAS!$A:$AAA, MATCH(A192, FICHAS!$A:$A, 0), MATCH("✏️ UF DISTRIBUIR (Escriba Aquí)", FICHAS!$3:$3, 0)) / COUNTIF(A:A, A192), 0))</f>
        <v>0</v>
      </c>
      <c r="J192" s="3"/>
      <c r="K192" s="4">
        <f t="shared" si="2"/>
        <v>0</v>
      </c>
    </row>
    <row r="193" spans="1:11" ht="19.95" customHeight="1" x14ac:dyDescent="0.3">
      <c r="A193" s="3"/>
      <c r="B193" s="3"/>
      <c r="C193" s="4"/>
      <c r="D193" s="4"/>
      <c r="E193" s="4"/>
      <c r="F193" s="4"/>
      <c r="G193" s="4"/>
      <c r="H193" s="4"/>
      <c r="I193" s="4">
        <f>IF(ISNUMBER(J193), J193, IFERROR(INDEX(FICHAS!$A:$AAA, MATCH(A193, FICHAS!$A:$A, 0), MATCH("✏️ UF DISTRIBUIR (Escriba Aquí)", FICHAS!$3:$3, 0)) / COUNTIF(A:A, A193), 0))</f>
        <v>0</v>
      </c>
      <c r="J193" s="3"/>
      <c r="K193" s="4">
        <f t="shared" si="2"/>
        <v>0</v>
      </c>
    </row>
    <row r="194" spans="1:11" ht="19.95" customHeight="1" x14ac:dyDescent="0.3">
      <c r="A194" s="3"/>
      <c r="B194" s="3"/>
      <c r="C194" s="4"/>
      <c r="D194" s="4"/>
      <c r="E194" s="4"/>
      <c r="F194" s="4"/>
      <c r="G194" s="4"/>
      <c r="H194" s="4"/>
      <c r="I194" s="4">
        <f>IF(ISNUMBER(J194), J194, IFERROR(INDEX(FICHAS!$A:$AAA, MATCH(A194, FICHAS!$A:$A, 0), MATCH("✏️ UF DISTRIBUIR (Escriba Aquí)", FICHAS!$3:$3, 0)) / COUNTIF(A:A, A194), 0))</f>
        <v>0</v>
      </c>
      <c r="J194" s="3"/>
      <c r="K194" s="4">
        <f t="shared" si="2"/>
        <v>0</v>
      </c>
    </row>
    <row r="195" spans="1:11" ht="19.95" customHeight="1" x14ac:dyDescent="0.3">
      <c r="A195" s="3"/>
      <c r="B195" s="3"/>
      <c r="C195" s="4"/>
      <c r="D195" s="4"/>
      <c r="E195" s="4"/>
      <c r="F195" s="4"/>
      <c r="G195" s="4"/>
      <c r="H195" s="4"/>
      <c r="I195" s="4">
        <f>IF(ISNUMBER(J195), J195, IFERROR(INDEX(FICHAS!$A:$AAA, MATCH(A195, FICHAS!$A:$A, 0), MATCH("✏️ UF DISTRIBUIR (Escriba Aquí)", FICHAS!$3:$3, 0)) / COUNTIF(A:A, A195), 0))</f>
        <v>0</v>
      </c>
      <c r="J195" s="3"/>
      <c r="K195" s="4">
        <f t="shared" si="2"/>
        <v>0</v>
      </c>
    </row>
    <row r="196" spans="1:11" ht="19.95" customHeight="1" x14ac:dyDescent="0.3">
      <c r="A196" s="3"/>
      <c r="B196" s="3"/>
      <c r="C196" s="4"/>
      <c r="D196" s="4"/>
      <c r="E196" s="4"/>
      <c r="F196" s="4"/>
      <c r="G196" s="4"/>
      <c r="H196" s="4"/>
      <c r="I196" s="4">
        <f>IF(ISNUMBER(J196), J196, IFERROR(INDEX(FICHAS!$A:$AAA, MATCH(A196, FICHAS!$A:$A, 0), MATCH("✏️ UF DISTRIBUIR (Escriba Aquí)", FICHAS!$3:$3, 0)) / COUNTIF(A:A, A196), 0))</f>
        <v>0</v>
      </c>
      <c r="J196" s="3"/>
      <c r="K196" s="4">
        <f t="shared" si="2"/>
        <v>0</v>
      </c>
    </row>
    <row r="197" spans="1:11" ht="19.95" customHeight="1" x14ac:dyDescent="0.3">
      <c r="A197" s="3"/>
      <c r="B197" s="3"/>
      <c r="C197" s="4"/>
      <c r="D197" s="4"/>
      <c r="E197" s="4"/>
      <c r="F197" s="4"/>
      <c r="G197" s="4"/>
      <c r="H197" s="4"/>
      <c r="I197" s="4">
        <f>IF(ISNUMBER(J197), J197, IFERROR(INDEX(FICHAS!$A:$AAA, MATCH(A197, FICHAS!$A:$A, 0), MATCH("✏️ UF DISTRIBUIR (Escriba Aquí)", FICHAS!$3:$3, 0)) / COUNTIF(A:A, A197), 0))</f>
        <v>0</v>
      </c>
      <c r="J197" s="3"/>
      <c r="K197" s="4">
        <f t="shared" si="2"/>
        <v>0</v>
      </c>
    </row>
    <row r="198" spans="1:11" ht="19.95" customHeight="1" x14ac:dyDescent="0.3">
      <c r="A198" s="3"/>
      <c r="B198" s="3"/>
      <c r="C198" s="4"/>
      <c r="D198" s="4"/>
      <c r="E198" s="4"/>
      <c r="F198" s="4"/>
      <c r="G198" s="4"/>
      <c r="H198" s="4"/>
      <c r="I198" s="4">
        <f>IF(ISNUMBER(J198), J198, IFERROR(INDEX(FICHAS!$A:$AAA, MATCH(A198, FICHAS!$A:$A, 0), MATCH("✏️ UF DISTRIBUIR (Escriba Aquí)", FICHAS!$3:$3, 0)) / COUNTIF(A:A, A198), 0))</f>
        <v>0</v>
      </c>
      <c r="J198" s="3"/>
      <c r="K198" s="4">
        <f t="shared" si="2"/>
        <v>0</v>
      </c>
    </row>
    <row r="199" spans="1:11" ht="19.95" customHeight="1" x14ac:dyDescent="0.3">
      <c r="A199" s="3"/>
      <c r="B199" s="3"/>
      <c r="C199" s="4"/>
      <c r="D199" s="4"/>
      <c r="E199" s="4"/>
      <c r="F199" s="4"/>
      <c r="G199" s="4"/>
      <c r="H199" s="4"/>
      <c r="I199" s="4">
        <f>IF(ISNUMBER(J199), J199, IFERROR(INDEX(FICHAS!$A:$AAA, MATCH(A199, FICHAS!$A:$A, 0), MATCH("✏️ UF DISTRIBUIR (Escriba Aquí)", FICHAS!$3:$3, 0)) / COUNTIF(A:A, A199), 0))</f>
        <v>0</v>
      </c>
      <c r="J199" s="3"/>
      <c r="K199" s="4">
        <f t="shared" si="2"/>
        <v>0</v>
      </c>
    </row>
    <row r="200" spans="1:11" ht="19.95" customHeight="1" x14ac:dyDescent="0.3">
      <c r="A200" s="3"/>
      <c r="B200" s="3"/>
      <c r="C200" s="4"/>
      <c r="D200" s="4"/>
      <c r="E200" s="4"/>
      <c r="F200" s="4"/>
      <c r="G200" s="4"/>
      <c r="H200" s="4"/>
      <c r="I200" s="4">
        <f>IF(ISNUMBER(J200), J200, IFERROR(INDEX(FICHAS!$A:$AAA, MATCH(A200, FICHAS!$A:$A, 0), MATCH("✏️ UF DISTRIBUIR (Escriba Aquí)", FICHAS!$3:$3, 0)) / COUNTIF(A:A, A200), 0))</f>
        <v>0</v>
      </c>
      <c r="J200" s="3"/>
      <c r="K200" s="4">
        <f t="shared" si="2"/>
        <v>0</v>
      </c>
    </row>
    <row r="201" spans="1:11" ht="19.95" customHeight="1" x14ac:dyDescent="0.3">
      <c r="A201" s="3"/>
      <c r="B201" s="3"/>
      <c r="C201" s="4"/>
      <c r="D201" s="4"/>
      <c r="E201" s="4"/>
      <c r="F201" s="4"/>
      <c r="G201" s="4"/>
      <c r="H201" s="4"/>
      <c r="I201" s="4">
        <f>IF(ISNUMBER(J201), J201, IFERROR(INDEX(FICHAS!$A:$AAA, MATCH(A201, FICHAS!$A:$A, 0), MATCH("✏️ UF DISTRIBUIR (Escriba Aquí)", FICHAS!$3:$3, 0)) / COUNTIF(A:A, A201), 0))</f>
        <v>0</v>
      </c>
      <c r="J201" s="3"/>
      <c r="K201" s="4">
        <f t="shared" ref="K201:K264" si="3">IF(A201&lt;&gt;"",COUNTIF($A$4:$A$513,A201),0)</f>
        <v>0</v>
      </c>
    </row>
    <row r="202" spans="1:11" ht="19.95" customHeight="1" x14ac:dyDescent="0.3">
      <c r="A202" s="3"/>
      <c r="B202" s="3"/>
      <c r="C202" s="4"/>
      <c r="D202" s="4"/>
      <c r="E202" s="4"/>
      <c r="F202" s="4"/>
      <c r="G202" s="4"/>
      <c r="H202" s="4"/>
      <c r="I202" s="4">
        <f>IF(ISNUMBER(J202), J202, IFERROR(INDEX(FICHAS!$A:$AAA, MATCH(A202, FICHAS!$A:$A, 0), MATCH("✏️ UF DISTRIBUIR (Escriba Aquí)", FICHAS!$3:$3, 0)) / COUNTIF(A:A, A202), 0))</f>
        <v>0</v>
      </c>
      <c r="J202" s="3"/>
      <c r="K202" s="4">
        <f t="shared" si="3"/>
        <v>0</v>
      </c>
    </row>
    <row r="203" spans="1:11" ht="19.95" customHeight="1" x14ac:dyDescent="0.3">
      <c r="A203" s="3"/>
      <c r="B203" s="3"/>
      <c r="C203" s="4"/>
      <c r="D203" s="4"/>
      <c r="E203" s="4"/>
      <c r="F203" s="4"/>
      <c r="G203" s="4"/>
      <c r="H203" s="4"/>
      <c r="I203" s="4">
        <f>IF(ISNUMBER(J203), J203, IFERROR(INDEX(FICHAS!$A:$AAA, MATCH(A203, FICHAS!$A:$A, 0), MATCH("✏️ UF DISTRIBUIR (Escriba Aquí)", FICHAS!$3:$3, 0)) / COUNTIF(A:A, A203), 0))</f>
        <v>0</v>
      </c>
      <c r="J203" s="3"/>
      <c r="K203" s="4">
        <f t="shared" si="3"/>
        <v>0</v>
      </c>
    </row>
    <row r="204" spans="1:11" ht="19.95" customHeight="1" x14ac:dyDescent="0.3">
      <c r="A204" s="3"/>
      <c r="B204" s="3"/>
      <c r="C204" s="4"/>
      <c r="D204" s="4"/>
      <c r="E204" s="4"/>
      <c r="F204" s="4"/>
      <c r="G204" s="4"/>
      <c r="H204" s="4"/>
      <c r="I204" s="4">
        <f>IF(ISNUMBER(J204), J204, IFERROR(INDEX(FICHAS!$A:$AAA, MATCH(A204, FICHAS!$A:$A, 0), MATCH("✏️ UF DISTRIBUIR (Escriba Aquí)", FICHAS!$3:$3, 0)) / COUNTIF(A:A, A204), 0))</f>
        <v>0</v>
      </c>
      <c r="J204" s="3"/>
      <c r="K204" s="4">
        <f t="shared" si="3"/>
        <v>0</v>
      </c>
    </row>
    <row r="205" spans="1:11" ht="19.95" customHeight="1" x14ac:dyDescent="0.3">
      <c r="A205" s="3"/>
      <c r="B205" s="3"/>
      <c r="C205" s="4"/>
      <c r="D205" s="4"/>
      <c r="E205" s="4"/>
      <c r="F205" s="4"/>
      <c r="G205" s="4"/>
      <c r="H205" s="4"/>
      <c r="I205" s="4">
        <f>IF(ISNUMBER(J205), J205, IFERROR(INDEX(FICHAS!$A:$AAA, MATCH(A205, FICHAS!$A:$A, 0), MATCH("✏️ UF DISTRIBUIR (Escriba Aquí)", FICHAS!$3:$3, 0)) / COUNTIF(A:A, A205), 0))</f>
        <v>0</v>
      </c>
      <c r="J205" s="3"/>
      <c r="K205" s="4">
        <f t="shared" si="3"/>
        <v>0</v>
      </c>
    </row>
    <row r="206" spans="1:11" ht="19.95" customHeight="1" x14ac:dyDescent="0.3">
      <c r="A206" s="3"/>
      <c r="B206" s="3"/>
      <c r="C206" s="4"/>
      <c r="D206" s="4"/>
      <c r="E206" s="4"/>
      <c r="F206" s="4"/>
      <c r="G206" s="4"/>
      <c r="H206" s="4"/>
      <c r="I206" s="4">
        <f>IF(ISNUMBER(J206), J206, IFERROR(INDEX(FICHAS!$A:$AAA, MATCH(A206, FICHAS!$A:$A, 0), MATCH("✏️ UF DISTRIBUIR (Escriba Aquí)", FICHAS!$3:$3, 0)) / COUNTIF(A:A, A206), 0))</f>
        <v>0</v>
      </c>
      <c r="J206" s="3"/>
      <c r="K206" s="4">
        <f t="shared" si="3"/>
        <v>0</v>
      </c>
    </row>
    <row r="207" spans="1:11" ht="19.95" customHeight="1" x14ac:dyDescent="0.3">
      <c r="A207" s="3"/>
      <c r="B207" s="3"/>
      <c r="C207" s="4"/>
      <c r="D207" s="4"/>
      <c r="E207" s="4"/>
      <c r="F207" s="4"/>
      <c r="G207" s="4"/>
      <c r="H207" s="4"/>
      <c r="I207" s="4">
        <f>IF(ISNUMBER(J207), J207, IFERROR(INDEX(FICHAS!$A:$AAA, MATCH(A207, FICHAS!$A:$A, 0), MATCH("✏️ UF DISTRIBUIR (Escriba Aquí)", FICHAS!$3:$3, 0)) / COUNTIF(A:A, A207), 0))</f>
        <v>0</v>
      </c>
      <c r="J207" s="3"/>
      <c r="K207" s="4">
        <f t="shared" si="3"/>
        <v>0</v>
      </c>
    </row>
    <row r="208" spans="1:11" ht="19.95" customHeight="1" x14ac:dyDescent="0.3">
      <c r="A208" s="3"/>
      <c r="B208" s="3"/>
      <c r="C208" s="4"/>
      <c r="D208" s="4"/>
      <c r="E208" s="4"/>
      <c r="F208" s="4"/>
      <c r="G208" s="4"/>
      <c r="H208" s="4"/>
      <c r="I208" s="4">
        <f>IF(ISNUMBER(J208), J208, IFERROR(INDEX(FICHAS!$A:$AAA, MATCH(A208, FICHAS!$A:$A, 0), MATCH("✏️ UF DISTRIBUIR (Escriba Aquí)", FICHAS!$3:$3, 0)) / COUNTIF(A:A, A208), 0))</f>
        <v>0</v>
      </c>
      <c r="J208" s="3"/>
      <c r="K208" s="4">
        <f t="shared" si="3"/>
        <v>0</v>
      </c>
    </row>
    <row r="209" spans="1:11" ht="19.95" customHeight="1" x14ac:dyDescent="0.3">
      <c r="A209" s="3"/>
      <c r="B209" s="3"/>
      <c r="C209" s="4"/>
      <c r="D209" s="4"/>
      <c r="E209" s="4"/>
      <c r="F209" s="4"/>
      <c r="G209" s="4"/>
      <c r="H209" s="4"/>
      <c r="I209" s="4">
        <f>IF(ISNUMBER(J209), J209, IFERROR(INDEX(FICHAS!$A:$AAA, MATCH(A209, FICHAS!$A:$A, 0), MATCH("✏️ UF DISTRIBUIR (Escriba Aquí)", FICHAS!$3:$3, 0)) / COUNTIF(A:A, A209), 0))</f>
        <v>0</v>
      </c>
      <c r="J209" s="3"/>
      <c r="K209" s="4">
        <f t="shared" si="3"/>
        <v>0</v>
      </c>
    </row>
    <row r="210" spans="1:11" ht="19.95" customHeight="1" x14ac:dyDescent="0.3">
      <c r="A210" s="3"/>
      <c r="B210" s="3"/>
      <c r="C210" s="4"/>
      <c r="D210" s="4"/>
      <c r="E210" s="4"/>
      <c r="F210" s="4"/>
      <c r="G210" s="4"/>
      <c r="H210" s="4"/>
      <c r="I210" s="4">
        <f>IF(ISNUMBER(J210), J210, IFERROR(INDEX(FICHAS!$A:$AAA, MATCH(A210, FICHAS!$A:$A, 0), MATCH("✏️ UF DISTRIBUIR (Escriba Aquí)", FICHAS!$3:$3, 0)) / COUNTIF(A:A, A210), 0))</f>
        <v>0</v>
      </c>
      <c r="J210" s="3"/>
      <c r="K210" s="4">
        <f t="shared" si="3"/>
        <v>0</v>
      </c>
    </row>
    <row r="211" spans="1:11" ht="19.95" customHeight="1" x14ac:dyDescent="0.3">
      <c r="A211" s="3"/>
      <c r="B211" s="3"/>
      <c r="C211" s="4"/>
      <c r="D211" s="4"/>
      <c r="E211" s="4"/>
      <c r="F211" s="4"/>
      <c r="G211" s="4"/>
      <c r="H211" s="4"/>
      <c r="I211" s="4">
        <f>IF(ISNUMBER(J211), J211, IFERROR(INDEX(FICHAS!$A:$AAA, MATCH(A211, FICHAS!$A:$A, 0), MATCH("✏️ UF DISTRIBUIR (Escriba Aquí)", FICHAS!$3:$3, 0)) / COUNTIF(A:A, A211), 0))</f>
        <v>0</v>
      </c>
      <c r="J211" s="3"/>
      <c r="K211" s="4">
        <f t="shared" si="3"/>
        <v>0</v>
      </c>
    </row>
    <row r="212" spans="1:11" ht="19.95" customHeight="1" x14ac:dyDescent="0.3">
      <c r="A212" s="3"/>
      <c r="B212" s="3"/>
      <c r="C212" s="4"/>
      <c r="D212" s="4"/>
      <c r="E212" s="4"/>
      <c r="F212" s="4"/>
      <c r="G212" s="4"/>
      <c r="H212" s="4"/>
      <c r="I212" s="4">
        <f>IF(ISNUMBER(J212), J212, IFERROR(INDEX(FICHAS!$A:$AAA, MATCH(A212, FICHAS!$A:$A, 0), MATCH("✏️ UF DISTRIBUIR (Escriba Aquí)", FICHAS!$3:$3, 0)) / COUNTIF(A:A, A212), 0))</f>
        <v>0</v>
      </c>
      <c r="J212" s="3"/>
      <c r="K212" s="4">
        <f t="shared" si="3"/>
        <v>0</v>
      </c>
    </row>
    <row r="213" spans="1:11" ht="19.95" customHeight="1" x14ac:dyDescent="0.3">
      <c r="A213" s="3"/>
      <c r="B213" s="3"/>
      <c r="C213" s="4"/>
      <c r="D213" s="4"/>
      <c r="E213" s="4"/>
      <c r="F213" s="4"/>
      <c r="G213" s="4"/>
      <c r="H213" s="4"/>
      <c r="I213" s="4">
        <f>IF(ISNUMBER(J213), J213, IFERROR(INDEX(FICHAS!$A:$AAA, MATCH(A213, FICHAS!$A:$A, 0), MATCH("✏️ UF DISTRIBUIR (Escriba Aquí)", FICHAS!$3:$3, 0)) / COUNTIF(A:A, A213), 0))</f>
        <v>0</v>
      </c>
      <c r="J213" s="3"/>
      <c r="K213" s="4">
        <f t="shared" si="3"/>
        <v>0</v>
      </c>
    </row>
    <row r="214" spans="1:11" ht="19.95" customHeight="1" x14ac:dyDescent="0.3">
      <c r="A214" s="3"/>
      <c r="B214" s="3"/>
      <c r="C214" s="4"/>
      <c r="D214" s="4"/>
      <c r="E214" s="4"/>
      <c r="F214" s="4"/>
      <c r="G214" s="4"/>
      <c r="H214" s="4"/>
      <c r="I214" s="4">
        <f>IF(ISNUMBER(J214), J214, IFERROR(INDEX(FICHAS!$A:$AAA, MATCH(A214, FICHAS!$A:$A, 0), MATCH("✏️ UF DISTRIBUIR (Escriba Aquí)", FICHAS!$3:$3, 0)) / COUNTIF(A:A, A214), 0))</f>
        <v>0</v>
      </c>
      <c r="J214" s="3"/>
      <c r="K214" s="4">
        <f t="shared" si="3"/>
        <v>0</v>
      </c>
    </row>
    <row r="215" spans="1:11" ht="19.95" customHeight="1" x14ac:dyDescent="0.3">
      <c r="A215" s="3"/>
      <c r="B215" s="3"/>
      <c r="C215" s="4"/>
      <c r="D215" s="4"/>
      <c r="E215" s="4"/>
      <c r="F215" s="4"/>
      <c r="G215" s="4"/>
      <c r="H215" s="4"/>
      <c r="I215" s="4">
        <f>IF(ISNUMBER(J215), J215, IFERROR(INDEX(FICHAS!$A:$AAA, MATCH(A215, FICHAS!$A:$A, 0), MATCH("✏️ UF DISTRIBUIR (Escriba Aquí)", FICHAS!$3:$3, 0)) / COUNTIF(A:A, A215), 0))</f>
        <v>0</v>
      </c>
      <c r="J215" s="3"/>
      <c r="K215" s="4">
        <f t="shared" si="3"/>
        <v>0</v>
      </c>
    </row>
    <row r="216" spans="1:11" ht="19.95" customHeight="1" x14ac:dyDescent="0.3">
      <c r="A216" s="3"/>
      <c r="B216" s="3"/>
      <c r="C216" s="4"/>
      <c r="D216" s="4"/>
      <c r="E216" s="4"/>
      <c r="F216" s="4"/>
      <c r="G216" s="4"/>
      <c r="H216" s="4"/>
      <c r="I216" s="4">
        <f>IF(ISNUMBER(J216), J216, IFERROR(INDEX(FICHAS!$A:$AAA, MATCH(A216, FICHAS!$A:$A, 0), MATCH("✏️ UF DISTRIBUIR (Escriba Aquí)", FICHAS!$3:$3, 0)) / COUNTIF(A:A, A216), 0))</f>
        <v>0</v>
      </c>
      <c r="J216" s="3"/>
      <c r="K216" s="4">
        <f t="shared" si="3"/>
        <v>0</v>
      </c>
    </row>
    <row r="217" spans="1:11" ht="19.95" customHeight="1" x14ac:dyDescent="0.3">
      <c r="A217" s="3"/>
      <c r="B217" s="3"/>
      <c r="C217" s="4"/>
      <c r="D217" s="4"/>
      <c r="E217" s="4"/>
      <c r="F217" s="4"/>
      <c r="G217" s="4"/>
      <c r="H217" s="4"/>
      <c r="I217" s="4">
        <f>IF(ISNUMBER(J217), J217, IFERROR(INDEX(FICHAS!$A:$AAA, MATCH(A217, FICHAS!$A:$A, 0), MATCH("✏️ UF DISTRIBUIR (Escriba Aquí)", FICHAS!$3:$3, 0)) / COUNTIF(A:A, A217), 0))</f>
        <v>0</v>
      </c>
      <c r="J217" s="3"/>
      <c r="K217" s="4">
        <f t="shared" si="3"/>
        <v>0</v>
      </c>
    </row>
    <row r="218" spans="1:11" ht="19.95" customHeight="1" x14ac:dyDescent="0.3">
      <c r="A218" s="3"/>
      <c r="B218" s="3"/>
      <c r="C218" s="4"/>
      <c r="D218" s="4"/>
      <c r="E218" s="4"/>
      <c r="F218" s="4"/>
      <c r="G218" s="4"/>
      <c r="H218" s="4"/>
      <c r="I218" s="4">
        <f>IF(ISNUMBER(J218), J218, IFERROR(INDEX(FICHAS!$A:$AAA, MATCH(A218, FICHAS!$A:$A, 0), MATCH("✏️ UF DISTRIBUIR (Escriba Aquí)", FICHAS!$3:$3, 0)) / COUNTIF(A:A, A218), 0))</f>
        <v>0</v>
      </c>
      <c r="J218" s="3"/>
      <c r="K218" s="4">
        <f t="shared" si="3"/>
        <v>0</v>
      </c>
    </row>
    <row r="219" spans="1:11" ht="19.95" customHeight="1" x14ac:dyDescent="0.3">
      <c r="A219" s="3"/>
      <c r="B219" s="3"/>
      <c r="C219" s="4"/>
      <c r="D219" s="4"/>
      <c r="E219" s="4"/>
      <c r="F219" s="4"/>
      <c r="G219" s="4"/>
      <c r="H219" s="4"/>
      <c r="I219" s="4">
        <f>IF(ISNUMBER(J219), J219, IFERROR(INDEX(FICHAS!$A:$AAA, MATCH(A219, FICHAS!$A:$A, 0), MATCH("✏️ UF DISTRIBUIR (Escriba Aquí)", FICHAS!$3:$3, 0)) / COUNTIF(A:A, A219), 0))</f>
        <v>0</v>
      </c>
      <c r="J219" s="3"/>
      <c r="K219" s="4">
        <f t="shared" si="3"/>
        <v>0</v>
      </c>
    </row>
    <row r="220" spans="1:11" ht="19.95" customHeight="1" x14ac:dyDescent="0.3">
      <c r="A220" s="3"/>
      <c r="B220" s="3"/>
      <c r="C220" s="4"/>
      <c r="D220" s="4"/>
      <c r="E220" s="4"/>
      <c r="F220" s="4"/>
      <c r="G220" s="4"/>
      <c r="H220" s="4"/>
      <c r="I220" s="4">
        <f>IF(ISNUMBER(J220), J220, IFERROR(INDEX(FICHAS!$A:$AAA, MATCH(A220, FICHAS!$A:$A, 0), MATCH("✏️ UF DISTRIBUIR (Escriba Aquí)", FICHAS!$3:$3, 0)) / COUNTIF(A:A, A220), 0))</f>
        <v>0</v>
      </c>
      <c r="J220" s="3"/>
      <c r="K220" s="4">
        <f t="shared" si="3"/>
        <v>0</v>
      </c>
    </row>
    <row r="221" spans="1:11" ht="19.95" customHeight="1" x14ac:dyDescent="0.3">
      <c r="A221" s="3"/>
      <c r="B221" s="3"/>
      <c r="C221" s="4"/>
      <c r="D221" s="4"/>
      <c r="E221" s="4"/>
      <c r="F221" s="4"/>
      <c r="G221" s="4"/>
      <c r="H221" s="4"/>
      <c r="I221" s="4">
        <f>IF(ISNUMBER(J221), J221, IFERROR(INDEX(FICHAS!$A:$AAA, MATCH(A221, FICHAS!$A:$A, 0), MATCH("✏️ UF DISTRIBUIR (Escriba Aquí)", FICHAS!$3:$3, 0)) / COUNTIF(A:A, A221), 0))</f>
        <v>0</v>
      </c>
      <c r="J221" s="3"/>
      <c r="K221" s="4">
        <f t="shared" si="3"/>
        <v>0</v>
      </c>
    </row>
    <row r="222" spans="1:11" ht="19.95" customHeight="1" x14ac:dyDescent="0.3">
      <c r="A222" s="3"/>
      <c r="B222" s="3"/>
      <c r="C222" s="4"/>
      <c r="D222" s="4"/>
      <c r="E222" s="4"/>
      <c r="F222" s="4"/>
      <c r="G222" s="4"/>
      <c r="H222" s="4"/>
      <c r="I222" s="4">
        <f>IF(ISNUMBER(J222), J222, IFERROR(INDEX(FICHAS!$A:$AAA, MATCH(A222, FICHAS!$A:$A, 0), MATCH("✏️ UF DISTRIBUIR (Escriba Aquí)", FICHAS!$3:$3, 0)) / COUNTIF(A:A, A222), 0))</f>
        <v>0</v>
      </c>
      <c r="J222" s="3"/>
      <c r="K222" s="4">
        <f t="shared" si="3"/>
        <v>0</v>
      </c>
    </row>
    <row r="223" spans="1:11" ht="19.95" customHeight="1" x14ac:dyDescent="0.3">
      <c r="A223" s="3"/>
      <c r="B223" s="3"/>
      <c r="C223" s="4"/>
      <c r="D223" s="4"/>
      <c r="E223" s="4"/>
      <c r="F223" s="4"/>
      <c r="G223" s="4"/>
      <c r="H223" s="4"/>
      <c r="I223" s="4">
        <f>IF(ISNUMBER(J223), J223, IFERROR(INDEX(FICHAS!$A:$AAA, MATCH(A223, FICHAS!$A:$A, 0), MATCH("✏️ UF DISTRIBUIR (Escriba Aquí)", FICHAS!$3:$3, 0)) / COUNTIF(A:A, A223), 0))</f>
        <v>0</v>
      </c>
      <c r="J223" s="3"/>
      <c r="K223" s="4">
        <f t="shared" si="3"/>
        <v>0</v>
      </c>
    </row>
    <row r="224" spans="1:11" ht="19.95" customHeight="1" x14ac:dyDescent="0.3">
      <c r="A224" s="3"/>
      <c r="B224" s="3"/>
      <c r="C224" s="4"/>
      <c r="D224" s="4"/>
      <c r="E224" s="4"/>
      <c r="F224" s="4"/>
      <c r="G224" s="4"/>
      <c r="H224" s="4"/>
      <c r="I224" s="4">
        <f>IF(ISNUMBER(J224), J224, IFERROR(INDEX(FICHAS!$A:$AAA, MATCH(A224, FICHAS!$A:$A, 0), MATCH("✏️ UF DISTRIBUIR (Escriba Aquí)", FICHAS!$3:$3, 0)) / COUNTIF(A:A, A224), 0))</f>
        <v>0</v>
      </c>
      <c r="J224" s="3"/>
      <c r="K224" s="4">
        <f t="shared" si="3"/>
        <v>0</v>
      </c>
    </row>
    <row r="225" spans="1:11" ht="19.95" customHeight="1" x14ac:dyDescent="0.3">
      <c r="A225" s="3"/>
      <c r="B225" s="3"/>
      <c r="C225" s="4"/>
      <c r="D225" s="4"/>
      <c r="E225" s="4"/>
      <c r="F225" s="4"/>
      <c r="G225" s="4"/>
      <c r="H225" s="4"/>
      <c r="I225" s="4">
        <f>IF(ISNUMBER(J225), J225, IFERROR(INDEX(FICHAS!$A:$AAA, MATCH(A225, FICHAS!$A:$A, 0), MATCH("✏️ UF DISTRIBUIR (Escriba Aquí)", FICHAS!$3:$3, 0)) / COUNTIF(A:A, A225), 0))</f>
        <v>0</v>
      </c>
      <c r="J225" s="3"/>
      <c r="K225" s="4">
        <f t="shared" si="3"/>
        <v>0</v>
      </c>
    </row>
    <row r="226" spans="1:11" ht="19.95" customHeight="1" x14ac:dyDescent="0.3">
      <c r="A226" s="3"/>
      <c r="B226" s="3"/>
      <c r="C226" s="4"/>
      <c r="D226" s="4"/>
      <c r="E226" s="4"/>
      <c r="F226" s="4"/>
      <c r="G226" s="4"/>
      <c r="H226" s="4"/>
      <c r="I226" s="4">
        <f>IF(ISNUMBER(J226), J226, IFERROR(INDEX(FICHAS!$A:$AAA, MATCH(A226, FICHAS!$A:$A, 0), MATCH("✏️ UF DISTRIBUIR (Escriba Aquí)", FICHAS!$3:$3, 0)) / COUNTIF(A:A, A226), 0))</f>
        <v>0</v>
      </c>
      <c r="J226" s="3"/>
      <c r="K226" s="4">
        <f t="shared" si="3"/>
        <v>0</v>
      </c>
    </row>
    <row r="227" spans="1:11" ht="19.95" customHeight="1" x14ac:dyDescent="0.3">
      <c r="A227" s="3"/>
      <c r="B227" s="3"/>
      <c r="C227" s="4"/>
      <c r="D227" s="4"/>
      <c r="E227" s="4"/>
      <c r="F227" s="4"/>
      <c r="G227" s="4"/>
      <c r="H227" s="4"/>
      <c r="I227" s="4">
        <f>IF(ISNUMBER(J227), J227, IFERROR(INDEX(FICHAS!$A:$AAA, MATCH(A227, FICHAS!$A:$A, 0), MATCH("✏️ UF DISTRIBUIR (Escriba Aquí)", FICHAS!$3:$3, 0)) / COUNTIF(A:A, A227), 0))</f>
        <v>0</v>
      </c>
      <c r="J227" s="3"/>
      <c r="K227" s="4">
        <f t="shared" si="3"/>
        <v>0</v>
      </c>
    </row>
    <row r="228" spans="1:11" ht="19.95" customHeight="1" x14ac:dyDescent="0.3">
      <c r="A228" s="3"/>
      <c r="B228" s="3"/>
      <c r="C228" s="4"/>
      <c r="D228" s="4"/>
      <c r="E228" s="4"/>
      <c r="F228" s="4"/>
      <c r="G228" s="4"/>
      <c r="H228" s="4"/>
      <c r="I228" s="4">
        <f>IF(ISNUMBER(J228), J228, IFERROR(INDEX(FICHAS!$A:$AAA, MATCH(A228, FICHAS!$A:$A, 0), MATCH("✏️ UF DISTRIBUIR (Escriba Aquí)", FICHAS!$3:$3, 0)) / COUNTIF(A:A, A228), 0))</f>
        <v>0</v>
      </c>
      <c r="J228" s="3"/>
      <c r="K228" s="4">
        <f t="shared" si="3"/>
        <v>0</v>
      </c>
    </row>
    <row r="229" spans="1:11" ht="19.95" customHeight="1" x14ac:dyDescent="0.3">
      <c r="A229" s="3"/>
      <c r="B229" s="3"/>
      <c r="C229" s="4"/>
      <c r="D229" s="4"/>
      <c r="E229" s="4"/>
      <c r="F229" s="4"/>
      <c r="G229" s="4"/>
      <c r="H229" s="4"/>
      <c r="I229" s="4">
        <f>IF(ISNUMBER(J229), J229, IFERROR(INDEX(FICHAS!$A:$AAA, MATCH(A229, FICHAS!$A:$A, 0), MATCH("✏️ UF DISTRIBUIR (Escriba Aquí)", FICHAS!$3:$3, 0)) / COUNTIF(A:A, A229), 0))</f>
        <v>0</v>
      </c>
      <c r="J229" s="3"/>
      <c r="K229" s="4">
        <f t="shared" si="3"/>
        <v>0</v>
      </c>
    </row>
    <row r="230" spans="1:11" ht="19.95" customHeight="1" x14ac:dyDescent="0.3">
      <c r="A230" s="3"/>
      <c r="B230" s="3"/>
      <c r="C230" s="4"/>
      <c r="D230" s="4"/>
      <c r="E230" s="4"/>
      <c r="F230" s="4"/>
      <c r="G230" s="4"/>
      <c r="H230" s="4"/>
      <c r="I230" s="4">
        <f>IF(ISNUMBER(J230), J230, IFERROR(INDEX(FICHAS!$A:$AAA, MATCH(A230, FICHAS!$A:$A, 0), MATCH("✏️ UF DISTRIBUIR (Escriba Aquí)", FICHAS!$3:$3, 0)) / COUNTIF(A:A, A230), 0))</f>
        <v>0</v>
      </c>
      <c r="J230" s="3"/>
      <c r="K230" s="4">
        <f t="shared" si="3"/>
        <v>0</v>
      </c>
    </row>
    <row r="231" spans="1:11" ht="19.95" customHeight="1" x14ac:dyDescent="0.3">
      <c r="A231" s="3"/>
      <c r="B231" s="3"/>
      <c r="C231" s="4"/>
      <c r="D231" s="4"/>
      <c r="E231" s="4"/>
      <c r="F231" s="4"/>
      <c r="G231" s="4"/>
      <c r="H231" s="4"/>
      <c r="I231" s="4">
        <f>IF(ISNUMBER(J231), J231, IFERROR(INDEX(FICHAS!$A:$AAA, MATCH(A231, FICHAS!$A:$A, 0), MATCH("✏️ UF DISTRIBUIR (Escriba Aquí)", FICHAS!$3:$3, 0)) / COUNTIF(A:A, A231), 0))</f>
        <v>0</v>
      </c>
      <c r="J231" s="3"/>
      <c r="K231" s="4">
        <f t="shared" si="3"/>
        <v>0</v>
      </c>
    </row>
    <row r="232" spans="1:11" ht="19.95" customHeight="1" x14ac:dyDescent="0.3">
      <c r="A232" s="3"/>
      <c r="B232" s="3"/>
      <c r="C232" s="4"/>
      <c r="D232" s="4"/>
      <c r="E232" s="4"/>
      <c r="F232" s="4"/>
      <c r="G232" s="4"/>
      <c r="H232" s="4"/>
      <c r="I232" s="4">
        <f>IF(ISNUMBER(J232), J232, IFERROR(INDEX(FICHAS!$A:$AAA, MATCH(A232, FICHAS!$A:$A, 0), MATCH("✏️ UF DISTRIBUIR (Escriba Aquí)", FICHAS!$3:$3, 0)) / COUNTIF(A:A, A232), 0))</f>
        <v>0</v>
      </c>
      <c r="J232" s="3"/>
      <c r="K232" s="4">
        <f t="shared" si="3"/>
        <v>0</v>
      </c>
    </row>
    <row r="233" spans="1:11" ht="19.95" customHeight="1" x14ac:dyDescent="0.3">
      <c r="A233" s="3"/>
      <c r="B233" s="3"/>
      <c r="C233" s="4"/>
      <c r="D233" s="4"/>
      <c r="E233" s="4"/>
      <c r="F233" s="4"/>
      <c r="G233" s="4"/>
      <c r="H233" s="4"/>
      <c r="I233" s="4">
        <f>IF(ISNUMBER(J233), J233, IFERROR(INDEX(FICHAS!$A:$AAA, MATCH(A233, FICHAS!$A:$A, 0), MATCH("✏️ UF DISTRIBUIR (Escriba Aquí)", FICHAS!$3:$3, 0)) / COUNTIF(A:A, A233), 0))</f>
        <v>0</v>
      </c>
      <c r="J233" s="3"/>
      <c r="K233" s="4">
        <f t="shared" si="3"/>
        <v>0</v>
      </c>
    </row>
    <row r="234" spans="1:11" ht="19.95" customHeight="1" x14ac:dyDescent="0.3">
      <c r="A234" s="3"/>
      <c r="B234" s="3"/>
      <c r="C234" s="4"/>
      <c r="D234" s="4"/>
      <c r="E234" s="4"/>
      <c r="F234" s="4"/>
      <c r="G234" s="4"/>
      <c r="H234" s="4"/>
      <c r="I234" s="4">
        <f>IF(ISNUMBER(J234), J234, IFERROR(INDEX(FICHAS!$A:$AAA, MATCH(A234, FICHAS!$A:$A, 0), MATCH("✏️ UF DISTRIBUIR (Escriba Aquí)", FICHAS!$3:$3, 0)) / COUNTIF(A:A, A234), 0))</f>
        <v>0</v>
      </c>
      <c r="J234" s="3"/>
      <c r="K234" s="4">
        <f t="shared" si="3"/>
        <v>0</v>
      </c>
    </row>
    <row r="235" spans="1:11" ht="19.95" customHeight="1" x14ac:dyDescent="0.3">
      <c r="A235" s="3"/>
      <c r="B235" s="3"/>
      <c r="C235" s="4"/>
      <c r="D235" s="4"/>
      <c r="E235" s="4"/>
      <c r="F235" s="4"/>
      <c r="G235" s="4"/>
      <c r="H235" s="4"/>
      <c r="I235" s="4">
        <f>IF(ISNUMBER(J235), J235, IFERROR(INDEX(FICHAS!$A:$AAA, MATCH(A235, FICHAS!$A:$A, 0), MATCH("✏️ UF DISTRIBUIR (Escriba Aquí)", FICHAS!$3:$3, 0)) / COUNTIF(A:A, A235), 0))</f>
        <v>0</v>
      </c>
      <c r="J235" s="3"/>
      <c r="K235" s="4">
        <f t="shared" si="3"/>
        <v>0</v>
      </c>
    </row>
    <row r="236" spans="1:11" ht="19.95" customHeight="1" x14ac:dyDescent="0.3">
      <c r="A236" s="3"/>
      <c r="B236" s="3"/>
      <c r="C236" s="4"/>
      <c r="D236" s="4"/>
      <c r="E236" s="4"/>
      <c r="F236" s="4"/>
      <c r="G236" s="4"/>
      <c r="H236" s="4"/>
      <c r="I236" s="4">
        <f>IF(ISNUMBER(J236), J236, IFERROR(INDEX(FICHAS!$A:$AAA, MATCH(A236, FICHAS!$A:$A, 0), MATCH("✏️ UF DISTRIBUIR (Escriba Aquí)", FICHAS!$3:$3, 0)) / COUNTIF(A:A, A236), 0))</f>
        <v>0</v>
      </c>
      <c r="J236" s="3"/>
      <c r="K236" s="4">
        <f t="shared" si="3"/>
        <v>0</v>
      </c>
    </row>
    <row r="237" spans="1:11" ht="19.95" customHeight="1" x14ac:dyDescent="0.3">
      <c r="A237" s="3"/>
      <c r="B237" s="3"/>
      <c r="C237" s="4"/>
      <c r="D237" s="4"/>
      <c r="E237" s="4"/>
      <c r="F237" s="4"/>
      <c r="G237" s="4"/>
      <c r="H237" s="4"/>
      <c r="I237" s="4">
        <f>IF(ISNUMBER(J237), J237, IFERROR(INDEX(FICHAS!$A:$AAA, MATCH(A237, FICHAS!$A:$A, 0), MATCH("✏️ UF DISTRIBUIR (Escriba Aquí)", FICHAS!$3:$3, 0)) / COUNTIF(A:A, A237), 0))</f>
        <v>0</v>
      </c>
      <c r="J237" s="3"/>
      <c r="K237" s="4">
        <f t="shared" si="3"/>
        <v>0</v>
      </c>
    </row>
    <row r="238" spans="1:11" ht="19.95" customHeight="1" x14ac:dyDescent="0.3">
      <c r="A238" s="3"/>
      <c r="B238" s="3"/>
      <c r="C238" s="4"/>
      <c r="D238" s="4"/>
      <c r="E238" s="4"/>
      <c r="F238" s="4"/>
      <c r="G238" s="4"/>
      <c r="H238" s="4"/>
      <c r="I238" s="4">
        <f>IF(ISNUMBER(J238), J238, IFERROR(INDEX(FICHAS!$A:$AAA, MATCH(A238, FICHAS!$A:$A, 0), MATCH("✏️ UF DISTRIBUIR (Escriba Aquí)", FICHAS!$3:$3, 0)) / COUNTIF(A:A, A238), 0))</f>
        <v>0</v>
      </c>
      <c r="J238" s="3"/>
      <c r="K238" s="4">
        <f t="shared" si="3"/>
        <v>0</v>
      </c>
    </row>
    <row r="239" spans="1:11" ht="19.95" customHeight="1" x14ac:dyDescent="0.3">
      <c r="A239" s="3"/>
      <c r="B239" s="3"/>
      <c r="C239" s="4"/>
      <c r="D239" s="4"/>
      <c r="E239" s="4"/>
      <c r="F239" s="4"/>
      <c r="G239" s="4"/>
      <c r="H239" s="4"/>
      <c r="I239" s="4">
        <f>IF(ISNUMBER(J239), J239, IFERROR(INDEX(FICHAS!$A:$AAA, MATCH(A239, FICHAS!$A:$A, 0), MATCH("✏️ UF DISTRIBUIR (Escriba Aquí)", FICHAS!$3:$3, 0)) / COUNTIF(A:A, A239), 0))</f>
        <v>0</v>
      </c>
      <c r="J239" s="3"/>
      <c r="K239" s="4">
        <f t="shared" si="3"/>
        <v>0</v>
      </c>
    </row>
    <row r="240" spans="1:11" ht="19.95" customHeight="1" x14ac:dyDescent="0.3">
      <c r="A240" s="3"/>
      <c r="B240" s="3"/>
      <c r="C240" s="4"/>
      <c r="D240" s="4"/>
      <c r="E240" s="4"/>
      <c r="F240" s="4"/>
      <c r="G240" s="4"/>
      <c r="H240" s="4"/>
      <c r="I240" s="4">
        <f>IF(ISNUMBER(J240), J240, IFERROR(INDEX(FICHAS!$A:$AAA, MATCH(A240, FICHAS!$A:$A, 0), MATCH("✏️ UF DISTRIBUIR (Escriba Aquí)", FICHAS!$3:$3, 0)) / COUNTIF(A:A, A240), 0))</f>
        <v>0</v>
      </c>
      <c r="J240" s="3"/>
      <c r="K240" s="4">
        <f t="shared" si="3"/>
        <v>0</v>
      </c>
    </row>
    <row r="241" spans="1:11" ht="19.95" customHeight="1" x14ac:dyDescent="0.3">
      <c r="A241" s="3"/>
      <c r="B241" s="3"/>
      <c r="C241" s="4"/>
      <c r="D241" s="4"/>
      <c r="E241" s="4"/>
      <c r="F241" s="4"/>
      <c r="G241" s="4"/>
      <c r="H241" s="4"/>
      <c r="I241" s="4">
        <f>IF(ISNUMBER(J241), J241, IFERROR(INDEX(FICHAS!$A:$AAA, MATCH(A241, FICHAS!$A:$A, 0), MATCH("✏️ UF DISTRIBUIR (Escriba Aquí)", FICHAS!$3:$3, 0)) / COUNTIF(A:A, A241), 0))</f>
        <v>0</v>
      </c>
      <c r="J241" s="3"/>
      <c r="K241" s="4">
        <f t="shared" si="3"/>
        <v>0</v>
      </c>
    </row>
    <row r="242" spans="1:11" ht="19.95" customHeight="1" x14ac:dyDescent="0.3">
      <c r="A242" s="3"/>
      <c r="B242" s="3"/>
      <c r="C242" s="4"/>
      <c r="D242" s="4"/>
      <c r="E242" s="4"/>
      <c r="F242" s="4"/>
      <c r="G242" s="4"/>
      <c r="H242" s="4"/>
      <c r="I242" s="4">
        <f>IF(ISNUMBER(J242), J242, IFERROR(INDEX(FICHAS!$A:$AAA, MATCH(A242, FICHAS!$A:$A, 0), MATCH("✏️ UF DISTRIBUIR (Escriba Aquí)", FICHAS!$3:$3, 0)) / COUNTIF(A:A, A242), 0))</f>
        <v>0</v>
      </c>
      <c r="J242" s="3"/>
      <c r="K242" s="4">
        <f t="shared" si="3"/>
        <v>0</v>
      </c>
    </row>
    <row r="243" spans="1:11" ht="19.95" customHeight="1" x14ac:dyDescent="0.3">
      <c r="A243" s="3"/>
      <c r="B243" s="3"/>
      <c r="C243" s="4"/>
      <c r="D243" s="4"/>
      <c r="E243" s="4"/>
      <c r="F243" s="4"/>
      <c r="G243" s="4"/>
      <c r="H243" s="4"/>
      <c r="I243" s="4">
        <f>IF(ISNUMBER(J243), J243, IFERROR(INDEX(FICHAS!$A:$AAA, MATCH(A243, FICHAS!$A:$A, 0), MATCH("✏️ UF DISTRIBUIR (Escriba Aquí)", FICHAS!$3:$3, 0)) / COUNTIF(A:A, A243), 0))</f>
        <v>0</v>
      </c>
      <c r="J243" s="3"/>
      <c r="K243" s="4">
        <f t="shared" si="3"/>
        <v>0</v>
      </c>
    </row>
    <row r="244" spans="1:11" ht="19.95" customHeight="1" x14ac:dyDescent="0.3">
      <c r="A244" s="3"/>
      <c r="B244" s="3"/>
      <c r="C244" s="4"/>
      <c r="D244" s="4"/>
      <c r="E244" s="4"/>
      <c r="F244" s="4"/>
      <c r="G244" s="4"/>
      <c r="H244" s="4"/>
      <c r="I244" s="4">
        <f>IF(ISNUMBER(J244), J244, IFERROR(INDEX(FICHAS!$A:$AAA, MATCH(A244, FICHAS!$A:$A, 0), MATCH("✏️ UF DISTRIBUIR (Escriba Aquí)", FICHAS!$3:$3, 0)) / COUNTIF(A:A, A244), 0))</f>
        <v>0</v>
      </c>
      <c r="J244" s="3"/>
      <c r="K244" s="4">
        <f t="shared" si="3"/>
        <v>0</v>
      </c>
    </row>
    <row r="245" spans="1:11" ht="19.95" customHeight="1" x14ac:dyDescent="0.3">
      <c r="A245" s="3"/>
      <c r="B245" s="3"/>
      <c r="C245" s="4"/>
      <c r="D245" s="4"/>
      <c r="E245" s="4"/>
      <c r="F245" s="4"/>
      <c r="G245" s="4"/>
      <c r="H245" s="4"/>
      <c r="I245" s="4">
        <f>IF(ISNUMBER(J245), J245, IFERROR(INDEX(FICHAS!$A:$AAA, MATCH(A245, FICHAS!$A:$A, 0), MATCH("✏️ UF DISTRIBUIR (Escriba Aquí)", FICHAS!$3:$3, 0)) / COUNTIF(A:A, A245), 0))</f>
        <v>0</v>
      </c>
      <c r="J245" s="3"/>
      <c r="K245" s="4">
        <f t="shared" si="3"/>
        <v>0</v>
      </c>
    </row>
    <row r="246" spans="1:11" ht="19.95" customHeight="1" x14ac:dyDescent="0.3">
      <c r="A246" s="3"/>
      <c r="B246" s="3"/>
      <c r="C246" s="4"/>
      <c r="D246" s="4"/>
      <c r="E246" s="4"/>
      <c r="F246" s="4"/>
      <c r="G246" s="4"/>
      <c r="H246" s="4"/>
      <c r="I246" s="4">
        <f>IF(ISNUMBER(J246), J246, IFERROR(INDEX(FICHAS!$A:$AAA, MATCH(A246, FICHAS!$A:$A, 0), MATCH("✏️ UF DISTRIBUIR (Escriba Aquí)", FICHAS!$3:$3, 0)) / COUNTIF(A:A, A246), 0))</f>
        <v>0</v>
      </c>
      <c r="J246" s="3"/>
      <c r="K246" s="4">
        <f t="shared" si="3"/>
        <v>0</v>
      </c>
    </row>
    <row r="247" spans="1:11" ht="19.95" customHeight="1" x14ac:dyDescent="0.3">
      <c r="A247" s="3"/>
      <c r="B247" s="3"/>
      <c r="C247" s="4"/>
      <c r="D247" s="4"/>
      <c r="E247" s="4"/>
      <c r="F247" s="4"/>
      <c r="G247" s="4"/>
      <c r="H247" s="4"/>
      <c r="I247" s="4">
        <f>IF(ISNUMBER(J247), J247, IFERROR(INDEX(FICHAS!$A:$AAA, MATCH(A247, FICHAS!$A:$A, 0), MATCH("✏️ UF DISTRIBUIR (Escriba Aquí)", FICHAS!$3:$3, 0)) / COUNTIF(A:A, A247), 0))</f>
        <v>0</v>
      </c>
      <c r="J247" s="3"/>
      <c r="K247" s="4">
        <f t="shared" si="3"/>
        <v>0</v>
      </c>
    </row>
    <row r="248" spans="1:11" ht="19.95" customHeight="1" x14ac:dyDescent="0.3">
      <c r="A248" s="3"/>
      <c r="B248" s="3"/>
      <c r="C248" s="4"/>
      <c r="D248" s="4"/>
      <c r="E248" s="4"/>
      <c r="F248" s="4"/>
      <c r="G248" s="4"/>
      <c r="H248" s="4"/>
      <c r="I248" s="4">
        <f>IF(ISNUMBER(J248), J248, IFERROR(INDEX(FICHAS!$A:$AAA, MATCH(A248, FICHAS!$A:$A, 0), MATCH("✏️ UF DISTRIBUIR (Escriba Aquí)", FICHAS!$3:$3, 0)) / COUNTIF(A:A, A248), 0))</f>
        <v>0</v>
      </c>
      <c r="J248" s="3"/>
      <c r="K248" s="4">
        <f t="shared" si="3"/>
        <v>0</v>
      </c>
    </row>
    <row r="249" spans="1:11" ht="19.95" customHeight="1" x14ac:dyDescent="0.3">
      <c r="A249" s="3"/>
      <c r="B249" s="3"/>
      <c r="C249" s="4"/>
      <c r="D249" s="4"/>
      <c r="E249" s="4"/>
      <c r="F249" s="4"/>
      <c r="G249" s="4"/>
      <c r="H249" s="4"/>
      <c r="I249" s="4">
        <f>IF(ISNUMBER(J249), J249, IFERROR(INDEX(FICHAS!$A:$AAA, MATCH(A249, FICHAS!$A:$A, 0), MATCH("✏️ UF DISTRIBUIR (Escriba Aquí)", FICHAS!$3:$3, 0)) / COUNTIF(A:A, A249), 0))</f>
        <v>0</v>
      </c>
      <c r="J249" s="3"/>
      <c r="K249" s="4">
        <f t="shared" si="3"/>
        <v>0</v>
      </c>
    </row>
    <row r="250" spans="1:11" ht="19.95" customHeight="1" x14ac:dyDescent="0.3">
      <c r="A250" s="3"/>
      <c r="B250" s="3"/>
      <c r="C250" s="4"/>
      <c r="D250" s="4"/>
      <c r="E250" s="4"/>
      <c r="F250" s="4"/>
      <c r="G250" s="4"/>
      <c r="H250" s="4"/>
      <c r="I250" s="4">
        <f>IF(ISNUMBER(J250), J250, IFERROR(INDEX(FICHAS!$A:$AAA, MATCH(A250, FICHAS!$A:$A, 0), MATCH("✏️ UF DISTRIBUIR (Escriba Aquí)", FICHAS!$3:$3, 0)) / COUNTIF(A:A, A250), 0))</f>
        <v>0</v>
      </c>
      <c r="J250" s="3"/>
      <c r="K250" s="4">
        <f t="shared" si="3"/>
        <v>0</v>
      </c>
    </row>
    <row r="251" spans="1:11" ht="19.95" customHeight="1" x14ac:dyDescent="0.3">
      <c r="A251" s="3"/>
      <c r="B251" s="3"/>
      <c r="C251" s="4"/>
      <c r="D251" s="4"/>
      <c r="E251" s="4"/>
      <c r="F251" s="4"/>
      <c r="G251" s="4"/>
      <c r="H251" s="4"/>
      <c r="I251" s="4">
        <f>IF(ISNUMBER(J251), J251, IFERROR(INDEX(FICHAS!$A:$AAA, MATCH(A251, FICHAS!$A:$A, 0), MATCH("✏️ UF DISTRIBUIR (Escriba Aquí)", FICHAS!$3:$3, 0)) / COUNTIF(A:A, A251), 0))</f>
        <v>0</v>
      </c>
      <c r="J251" s="3"/>
      <c r="K251" s="4">
        <f t="shared" si="3"/>
        <v>0</v>
      </c>
    </row>
    <row r="252" spans="1:11" ht="19.95" customHeight="1" x14ac:dyDescent="0.3">
      <c r="A252" s="3"/>
      <c r="B252" s="3"/>
      <c r="C252" s="4"/>
      <c r="D252" s="4"/>
      <c r="E252" s="4"/>
      <c r="F252" s="4"/>
      <c r="G252" s="4"/>
      <c r="H252" s="4"/>
      <c r="I252" s="4">
        <f>IF(ISNUMBER(J252), J252, IFERROR(INDEX(FICHAS!$A:$AAA, MATCH(A252, FICHAS!$A:$A, 0), MATCH("✏️ UF DISTRIBUIR (Escriba Aquí)", FICHAS!$3:$3, 0)) / COUNTIF(A:A, A252), 0))</f>
        <v>0</v>
      </c>
      <c r="J252" s="3"/>
      <c r="K252" s="4">
        <f t="shared" si="3"/>
        <v>0</v>
      </c>
    </row>
    <row r="253" spans="1:11" ht="19.95" customHeight="1" x14ac:dyDescent="0.3">
      <c r="A253" s="3"/>
      <c r="B253" s="3"/>
      <c r="C253" s="4"/>
      <c r="D253" s="4"/>
      <c r="E253" s="4"/>
      <c r="F253" s="4"/>
      <c r="G253" s="4"/>
      <c r="H253" s="4"/>
      <c r="I253" s="4">
        <f>IF(ISNUMBER(J253), J253, IFERROR(INDEX(FICHAS!$A:$AAA, MATCH(A253, FICHAS!$A:$A, 0), MATCH("✏️ UF DISTRIBUIR (Escriba Aquí)", FICHAS!$3:$3, 0)) / COUNTIF(A:A, A253), 0))</f>
        <v>0</v>
      </c>
      <c r="J253" s="3"/>
      <c r="K253" s="4">
        <f t="shared" si="3"/>
        <v>0</v>
      </c>
    </row>
    <row r="254" spans="1:11" ht="19.95" customHeight="1" x14ac:dyDescent="0.3">
      <c r="A254" s="3"/>
      <c r="B254" s="3"/>
      <c r="C254" s="4"/>
      <c r="D254" s="4"/>
      <c r="E254" s="4"/>
      <c r="F254" s="4"/>
      <c r="G254" s="4"/>
      <c r="H254" s="4"/>
      <c r="I254" s="4">
        <f>IF(ISNUMBER(J254), J254, IFERROR(INDEX(FICHAS!$A:$AAA, MATCH(A254, FICHAS!$A:$A, 0), MATCH("✏️ UF DISTRIBUIR (Escriba Aquí)", FICHAS!$3:$3, 0)) / COUNTIF(A:A, A254), 0))</f>
        <v>0</v>
      </c>
      <c r="J254" s="3"/>
      <c r="K254" s="4">
        <f t="shared" si="3"/>
        <v>0</v>
      </c>
    </row>
    <row r="255" spans="1:11" ht="19.95" customHeight="1" x14ac:dyDescent="0.3">
      <c r="A255" s="3"/>
      <c r="B255" s="3"/>
      <c r="C255" s="4"/>
      <c r="D255" s="4"/>
      <c r="E255" s="4"/>
      <c r="F255" s="4"/>
      <c r="G255" s="4"/>
      <c r="H255" s="4"/>
      <c r="I255" s="4">
        <f>IF(ISNUMBER(J255), J255, IFERROR(INDEX(FICHAS!$A:$AAA, MATCH(A255, FICHAS!$A:$A, 0), MATCH("✏️ UF DISTRIBUIR (Escriba Aquí)", FICHAS!$3:$3, 0)) / COUNTIF(A:A, A255), 0))</f>
        <v>0</v>
      </c>
      <c r="J255" s="3"/>
      <c r="K255" s="4">
        <f t="shared" si="3"/>
        <v>0</v>
      </c>
    </row>
    <row r="256" spans="1:11" ht="19.95" customHeight="1" x14ac:dyDescent="0.3">
      <c r="A256" s="3"/>
      <c r="B256" s="3"/>
      <c r="C256" s="4"/>
      <c r="D256" s="4"/>
      <c r="E256" s="4"/>
      <c r="F256" s="4"/>
      <c r="G256" s="4"/>
      <c r="H256" s="4"/>
      <c r="I256" s="4">
        <f>IF(ISNUMBER(J256), J256, IFERROR(INDEX(FICHAS!$A:$AAA, MATCH(A256, FICHAS!$A:$A, 0), MATCH("✏️ UF DISTRIBUIR (Escriba Aquí)", FICHAS!$3:$3, 0)) / COUNTIF(A:A, A256), 0))</f>
        <v>0</v>
      </c>
      <c r="J256" s="3"/>
      <c r="K256" s="4">
        <f t="shared" si="3"/>
        <v>0</v>
      </c>
    </row>
    <row r="257" spans="1:11" ht="19.95" customHeight="1" x14ac:dyDescent="0.3">
      <c r="A257" s="3"/>
      <c r="B257" s="3"/>
      <c r="C257" s="4"/>
      <c r="D257" s="4"/>
      <c r="E257" s="4"/>
      <c r="F257" s="4"/>
      <c r="G257" s="4"/>
      <c r="H257" s="4"/>
      <c r="I257" s="4">
        <f>IF(ISNUMBER(J257), J257, IFERROR(INDEX(FICHAS!$A:$AAA, MATCH(A257, FICHAS!$A:$A, 0), MATCH("✏️ UF DISTRIBUIR (Escriba Aquí)", FICHAS!$3:$3, 0)) / COUNTIF(A:A, A257), 0))</f>
        <v>0</v>
      </c>
      <c r="J257" s="3"/>
      <c r="K257" s="4">
        <f t="shared" si="3"/>
        <v>0</v>
      </c>
    </row>
    <row r="258" spans="1:11" ht="19.95" customHeight="1" x14ac:dyDescent="0.3">
      <c r="A258" s="3"/>
      <c r="B258" s="3"/>
      <c r="C258" s="4"/>
      <c r="D258" s="4"/>
      <c r="E258" s="4"/>
      <c r="F258" s="4"/>
      <c r="G258" s="4"/>
      <c r="H258" s="4"/>
      <c r="I258" s="4">
        <f>IF(ISNUMBER(J258), J258, IFERROR(INDEX(FICHAS!$A:$AAA, MATCH(A258, FICHAS!$A:$A, 0), MATCH("✏️ UF DISTRIBUIR (Escriba Aquí)", FICHAS!$3:$3, 0)) / COUNTIF(A:A, A258), 0))</f>
        <v>0</v>
      </c>
      <c r="J258" s="3"/>
      <c r="K258" s="4">
        <f t="shared" si="3"/>
        <v>0</v>
      </c>
    </row>
    <row r="259" spans="1:11" ht="19.95" customHeight="1" x14ac:dyDescent="0.3">
      <c r="A259" s="3"/>
      <c r="B259" s="3"/>
      <c r="C259" s="4"/>
      <c r="D259" s="4"/>
      <c r="E259" s="4"/>
      <c r="F259" s="4"/>
      <c r="G259" s="4"/>
      <c r="H259" s="4"/>
      <c r="I259" s="4">
        <f>IF(ISNUMBER(J259), J259, IFERROR(INDEX(FICHAS!$A:$AAA, MATCH(A259, FICHAS!$A:$A, 0), MATCH("✏️ UF DISTRIBUIR (Escriba Aquí)", FICHAS!$3:$3, 0)) / COUNTIF(A:A, A259), 0))</f>
        <v>0</v>
      </c>
      <c r="J259" s="3"/>
      <c r="K259" s="4">
        <f t="shared" si="3"/>
        <v>0</v>
      </c>
    </row>
    <row r="260" spans="1:11" ht="19.95" customHeight="1" x14ac:dyDescent="0.3">
      <c r="A260" s="3"/>
      <c r="B260" s="3"/>
      <c r="C260" s="4"/>
      <c r="D260" s="4"/>
      <c r="E260" s="4"/>
      <c r="F260" s="4"/>
      <c r="G260" s="4"/>
      <c r="H260" s="4"/>
      <c r="I260" s="4">
        <f>IF(ISNUMBER(J260), J260, IFERROR(INDEX(FICHAS!$A:$AAA, MATCH(A260, FICHAS!$A:$A, 0), MATCH("✏️ UF DISTRIBUIR (Escriba Aquí)", FICHAS!$3:$3, 0)) / COUNTIF(A:A, A260), 0))</f>
        <v>0</v>
      </c>
      <c r="J260" s="3"/>
      <c r="K260" s="4">
        <f t="shared" si="3"/>
        <v>0</v>
      </c>
    </row>
    <row r="261" spans="1:11" ht="19.95" customHeight="1" x14ac:dyDescent="0.3">
      <c r="A261" s="3"/>
      <c r="B261" s="3"/>
      <c r="C261" s="4"/>
      <c r="D261" s="4"/>
      <c r="E261" s="4"/>
      <c r="F261" s="4"/>
      <c r="G261" s="4"/>
      <c r="H261" s="4"/>
      <c r="I261" s="4">
        <f>IF(ISNUMBER(J261), J261, IFERROR(INDEX(FICHAS!$A:$AAA, MATCH(A261, FICHAS!$A:$A, 0), MATCH("✏️ UF DISTRIBUIR (Escriba Aquí)", FICHAS!$3:$3, 0)) / COUNTIF(A:A, A261), 0))</f>
        <v>0</v>
      </c>
      <c r="J261" s="3"/>
      <c r="K261" s="4">
        <f t="shared" si="3"/>
        <v>0</v>
      </c>
    </row>
    <row r="262" spans="1:11" ht="19.95" customHeight="1" x14ac:dyDescent="0.3">
      <c r="A262" s="3"/>
      <c r="B262" s="3"/>
      <c r="C262" s="4"/>
      <c r="D262" s="4"/>
      <c r="E262" s="4"/>
      <c r="F262" s="4"/>
      <c r="G262" s="4"/>
      <c r="H262" s="4"/>
      <c r="I262" s="4">
        <f>IF(ISNUMBER(J262), J262, IFERROR(INDEX(FICHAS!$A:$AAA, MATCH(A262, FICHAS!$A:$A, 0), MATCH("✏️ UF DISTRIBUIR (Escriba Aquí)", FICHAS!$3:$3, 0)) / COUNTIF(A:A, A262), 0))</f>
        <v>0</v>
      </c>
      <c r="J262" s="3"/>
      <c r="K262" s="4">
        <f t="shared" si="3"/>
        <v>0</v>
      </c>
    </row>
    <row r="263" spans="1:11" ht="19.95" customHeight="1" x14ac:dyDescent="0.3">
      <c r="A263" s="3"/>
      <c r="B263" s="3"/>
      <c r="C263" s="4"/>
      <c r="D263" s="4"/>
      <c r="E263" s="4"/>
      <c r="F263" s="4"/>
      <c r="G263" s="4"/>
      <c r="H263" s="4"/>
      <c r="I263" s="4">
        <f>IF(ISNUMBER(J263), J263, IFERROR(INDEX(FICHAS!$A:$AAA, MATCH(A263, FICHAS!$A:$A, 0), MATCH("✏️ UF DISTRIBUIR (Escriba Aquí)", FICHAS!$3:$3, 0)) / COUNTIF(A:A, A263), 0))</f>
        <v>0</v>
      </c>
      <c r="J263" s="3"/>
      <c r="K263" s="4">
        <f t="shared" si="3"/>
        <v>0</v>
      </c>
    </row>
    <row r="264" spans="1:11" ht="19.95" customHeight="1" x14ac:dyDescent="0.3">
      <c r="A264" s="3"/>
      <c r="B264" s="3"/>
      <c r="C264" s="4"/>
      <c r="D264" s="4"/>
      <c r="E264" s="4"/>
      <c r="F264" s="4"/>
      <c r="G264" s="4"/>
      <c r="H264" s="4"/>
      <c r="I264" s="4">
        <f>IF(ISNUMBER(J264), J264, IFERROR(INDEX(FICHAS!$A:$AAA, MATCH(A264, FICHAS!$A:$A, 0), MATCH("✏️ UF DISTRIBUIR (Escriba Aquí)", FICHAS!$3:$3, 0)) / COUNTIF(A:A, A264), 0))</f>
        <v>0</v>
      </c>
      <c r="J264" s="3"/>
      <c r="K264" s="4">
        <f t="shared" si="3"/>
        <v>0</v>
      </c>
    </row>
    <row r="265" spans="1:11" ht="19.95" customHeight="1" x14ac:dyDescent="0.3">
      <c r="A265" s="3"/>
      <c r="B265" s="3"/>
      <c r="C265" s="4"/>
      <c r="D265" s="4"/>
      <c r="E265" s="4"/>
      <c r="F265" s="4"/>
      <c r="G265" s="4"/>
      <c r="H265" s="4"/>
      <c r="I265" s="4">
        <f>IF(ISNUMBER(J265), J265, IFERROR(INDEX(FICHAS!$A:$AAA, MATCH(A265, FICHAS!$A:$A, 0), MATCH("✏️ UF DISTRIBUIR (Escriba Aquí)", FICHAS!$3:$3, 0)) / COUNTIF(A:A, A265), 0))</f>
        <v>0</v>
      </c>
      <c r="J265" s="3"/>
      <c r="K265" s="4">
        <f t="shared" ref="K265:K328" si="4">IF(A265&lt;&gt;"",COUNTIF($A$4:$A$513,A265),0)</f>
        <v>0</v>
      </c>
    </row>
    <row r="266" spans="1:11" ht="19.95" customHeight="1" x14ac:dyDescent="0.3">
      <c r="A266" s="3"/>
      <c r="B266" s="3"/>
      <c r="C266" s="4"/>
      <c r="D266" s="4"/>
      <c r="E266" s="4"/>
      <c r="F266" s="4"/>
      <c r="G266" s="4"/>
      <c r="H266" s="4"/>
      <c r="I266" s="4">
        <f>IF(ISNUMBER(J266), J266, IFERROR(INDEX(FICHAS!$A:$AAA, MATCH(A266, FICHAS!$A:$A, 0), MATCH("✏️ UF DISTRIBUIR (Escriba Aquí)", FICHAS!$3:$3, 0)) / COUNTIF(A:A, A266), 0))</f>
        <v>0</v>
      </c>
      <c r="J266" s="3"/>
      <c r="K266" s="4">
        <f t="shared" si="4"/>
        <v>0</v>
      </c>
    </row>
    <row r="267" spans="1:11" ht="19.95" customHeight="1" x14ac:dyDescent="0.3">
      <c r="A267" s="3"/>
      <c r="B267" s="3"/>
      <c r="C267" s="4"/>
      <c r="D267" s="4"/>
      <c r="E267" s="4"/>
      <c r="F267" s="4"/>
      <c r="G267" s="4"/>
      <c r="H267" s="4"/>
      <c r="I267" s="4">
        <f>IF(ISNUMBER(J267), J267, IFERROR(INDEX(FICHAS!$A:$AAA, MATCH(A267, FICHAS!$A:$A, 0), MATCH("✏️ UF DISTRIBUIR (Escriba Aquí)", FICHAS!$3:$3, 0)) / COUNTIF(A:A, A267), 0))</f>
        <v>0</v>
      </c>
      <c r="J267" s="3"/>
      <c r="K267" s="4">
        <f t="shared" si="4"/>
        <v>0</v>
      </c>
    </row>
    <row r="268" spans="1:11" ht="19.95" customHeight="1" x14ac:dyDescent="0.3">
      <c r="A268" s="3"/>
      <c r="B268" s="3"/>
      <c r="C268" s="4"/>
      <c r="D268" s="4"/>
      <c r="E268" s="4"/>
      <c r="F268" s="4"/>
      <c r="G268" s="4"/>
      <c r="H268" s="4"/>
      <c r="I268" s="4">
        <f>IF(ISNUMBER(J268), J268, IFERROR(INDEX(FICHAS!$A:$AAA, MATCH(A268, FICHAS!$A:$A, 0), MATCH("✏️ UF DISTRIBUIR (Escriba Aquí)", FICHAS!$3:$3, 0)) / COUNTIF(A:A, A268), 0))</f>
        <v>0</v>
      </c>
      <c r="J268" s="3"/>
      <c r="K268" s="4">
        <f t="shared" si="4"/>
        <v>0</v>
      </c>
    </row>
    <row r="269" spans="1:11" ht="19.95" customHeight="1" x14ac:dyDescent="0.3">
      <c r="A269" s="3"/>
      <c r="B269" s="3"/>
      <c r="C269" s="4"/>
      <c r="D269" s="4"/>
      <c r="E269" s="4"/>
      <c r="F269" s="4"/>
      <c r="G269" s="4"/>
      <c r="H269" s="4"/>
      <c r="I269" s="4">
        <f>IF(ISNUMBER(J269), J269, IFERROR(INDEX(FICHAS!$A:$AAA, MATCH(A269, FICHAS!$A:$A, 0), MATCH("✏️ UF DISTRIBUIR (Escriba Aquí)", FICHAS!$3:$3, 0)) / COUNTIF(A:A, A269), 0))</f>
        <v>0</v>
      </c>
      <c r="J269" s="3"/>
      <c r="K269" s="4">
        <f t="shared" si="4"/>
        <v>0</v>
      </c>
    </row>
    <row r="270" spans="1:11" ht="19.95" customHeight="1" x14ac:dyDescent="0.3">
      <c r="A270" s="3"/>
      <c r="B270" s="3"/>
      <c r="C270" s="4"/>
      <c r="D270" s="4"/>
      <c r="E270" s="4"/>
      <c r="F270" s="4"/>
      <c r="G270" s="4"/>
      <c r="H270" s="4"/>
      <c r="I270" s="4">
        <f>IF(ISNUMBER(J270), J270, IFERROR(INDEX(FICHAS!$A:$AAA, MATCH(A270, FICHAS!$A:$A, 0), MATCH("✏️ UF DISTRIBUIR (Escriba Aquí)", FICHAS!$3:$3, 0)) / COUNTIF(A:A, A270), 0))</f>
        <v>0</v>
      </c>
      <c r="J270" s="3"/>
      <c r="K270" s="4">
        <f t="shared" si="4"/>
        <v>0</v>
      </c>
    </row>
    <row r="271" spans="1:11" ht="19.95" customHeight="1" x14ac:dyDescent="0.3">
      <c r="A271" s="3"/>
      <c r="B271" s="3"/>
      <c r="C271" s="4"/>
      <c r="D271" s="4"/>
      <c r="E271" s="4"/>
      <c r="F271" s="4"/>
      <c r="G271" s="4"/>
      <c r="H271" s="4"/>
      <c r="I271" s="4">
        <f>IF(ISNUMBER(J271), J271, IFERROR(INDEX(FICHAS!$A:$AAA, MATCH(A271, FICHAS!$A:$A, 0), MATCH("✏️ UF DISTRIBUIR (Escriba Aquí)", FICHAS!$3:$3, 0)) / COUNTIF(A:A, A271), 0))</f>
        <v>0</v>
      </c>
      <c r="J271" s="3"/>
      <c r="K271" s="4">
        <f t="shared" si="4"/>
        <v>0</v>
      </c>
    </row>
    <row r="272" spans="1:11" ht="19.95" customHeight="1" x14ac:dyDescent="0.3">
      <c r="A272" s="3"/>
      <c r="B272" s="3"/>
      <c r="C272" s="4"/>
      <c r="D272" s="4"/>
      <c r="E272" s="4"/>
      <c r="F272" s="4"/>
      <c r="G272" s="4"/>
      <c r="H272" s="4"/>
      <c r="I272" s="4">
        <f>IF(ISNUMBER(J272), J272, IFERROR(INDEX(FICHAS!$A:$AAA, MATCH(A272, FICHAS!$A:$A, 0), MATCH("✏️ UF DISTRIBUIR (Escriba Aquí)", FICHAS!$3:$3, 0)) / COUNTIF(A:A, A272), 0))</f>
        <v>0</v>
      </c>
      <c r="J272" s="3"/>
      <c r="K272" s="4">
        <f t="shared" si="4"/>
        <v>0</v>
      </c>
    </row>
    <row r="273" spans="1:11" ht="19.95" customHeight="1" x14ac:dyDescent="0.3">
      <c r="A273" s="3"/>
      <c r="B273" s="3"/>
      <c r="C273" s="4"/>
      <c r="D273" s="4"/>
      <c r="E273" s="4"/>
      <c r="F273" s="4"/>
      <c r="G273" s="4"/>
      <c r="H273" s="4"/>
      <c r="I273" s="4">
        <f>IF(ISNUMBER(J273), J273, IFERROR(INDEX(FICHAS!$A:$AAA, MATCH(A273, FICHAS!$A:$A, 0), MATCH("✏️ UF DISTRIBUIR (Escriba Aquí)", FICHAS!$3:$3, 0)) / COUNTIF(A:A, A273), 0))</f>
        <v>0</v>
      </c>
      <c r="J273" s="3"/>
      <c r="K273" s="4">
        <f t="shared" si="4"/>
        <v>0</v>
      </c>
    </row>
    <row r="274" spans="1:11" ht="19.95" customHeight="1" x14ac:dyDescent="0.3">
      <c r="A274" s="3"/>
      <c r="B274" s="3"/>
      <c r="C274" s="4"/>
      <c r="D274" s="4"/>
      <c r="E274" s="4"/>
      <c r="F274" s="4"/>
      <c r="G274" s="4"/>
      <c r="H274" s="4"/>
      <c r="I274" s="4">
        <f>IF(ISNUMBER(J274), J274, IFERROR(INDEX(FICHAS!$A:$AAA, MATCH(A274, FICHAS!$A:$A, 0), MATCH("✏️ UF DISTRIBUIR (Escriba Aquí)", FICHAS!$3:$3, 0)) / COUNTIF(A:A, A274), 0))</f>
        <v>0</v>
      </c>
      <c r="J274" s="3"/>
      <c r="K274" s="4">
        <f t="shared" si="4"/>
        <v>0</v>
      </c>
    </row>
    <row r="275" spans="1:11" ht="19.95" customHeight="1" x14ac:dyDescent="0.3">
      <c r="A275" s="3"/>
      <c r="B275" s="3"/>
      <c r="C275" s="4"/>
      <c r="D275" s="4"/>
      <c r="E275" s="4"/>
      <c r="F275" s="4"/>
      <c r="G275" s="4"/>
      <c r="H275" s="4"/>
      <c r="I275" s="4">
        <f>IF(ISNUMBER(J275), J275, IFERROR(INDEX(FICHAS!$A:$AAA, MATCH(A275, FICHAS!$A:$A, 0), MATCH("✏️ UF DISTRIBUIR (Escriba Aquí)", FICHAS!$3:$3, 0)) / COUNTIF(A:A, A275), 0))</f>
        <v>0</v>
      </c>
      <c r="J275" s="3"/>
      <c r="K275" s="4">
        <f t="shared" si="4"/>
        <v>0</v>
      </c>
    </row>
    <row r="276" spans="1:11" ht="19.95" customHeight="1" x14ac:dyDescent="0.3">
      <c r="A276" s="3"/>
      <c r="B276" s="3"/>
      <c r="C276" s="4"/>
      <c r="D276" s="4"/>
      <c r="E276" s="4"/>
      <c r="F276" s="4"/>
      <c r="G276" s="4"/>
      <c r="H276" s="4"/>
      <c r="I276" s="4">
        <f>IF(ISNUMBER(J276), J276, IFERROR(INDEX(FICHAS!$A:$AAA, MATCH(A276, FICHAS!$A:$A, 0), MATCH("✏️ UF DISTRIBUIR (Escriba Aquí)", FICHAS!$3:$3, 0)) / COUNTIF(A:A, A276), 0))</f>
        <v>0</v>
      </c>
      <c r="J276" s="3"/>
      <c r="K276" s="4">
        <f t="shared" si="4"/>
        <v>0</v>
      </c>
    </row>
    <row r="277" spans="1:11" ht="19.95" customHeight="1" x14ac:dyDescent="0.3">
      <c r="A277" s="3"/>
      <c r="B277" s="3"/>
      <c r="C277" s="4"/>
      <c r="D277" s="4"/>
      <c r="E277" s="4"/>
      <c r="F277" s="4"/>
      <c r="G277" s="4"/>
      <c r="H277" s="4"/>
      <c r="I277" s="4">
        <f>IF(ISNUMBER(J277), J277, IFERROR(INDEX(FICHAS!$A:$AAA, MATCH(A277, FICHAS!$A:$A, 0), MATCH("✏️ UF DISTRIBUIR (Escriba Aquí)", FICHAS!$3:$3, 0)) / COUNTIF(A:A, A277), 0))</f>
        <v>0</v>
      </c>
      <c r="J277" s="3"/>
      <c r="K277" s="4">
        <f t="shared" si="4"/>
        <v>0</v>
      </c>
    </row>
    <row r="278" spans="1:11" ht="19.95" customHeight="1" x14ac:dyDescent="0.3">
      <c r="A278" s="3"/>
      <c r="B278" s="3"/>
      <c r="C278" s="4"/>
      <c r="D278" s="4"/>
      <c r="E278" s="4"/>
      <c r="F278" s="4"/>
      <c r="G278" s="4"/>
      <c r="H278" s="4"/>
      <c r="I278" s="4">
        <f>IF(ISNUMBER(J278), J278, IFERROR(INDEX(FICHAS!$A:$AAA, MATCH(A278, FICHAS!$A:$A, 0), MATCH("✏️ UF DISTRIBUIR (Escriba Aquí)", FICHAS!$3:$3, 0)) / COUNTIF(A:A, A278), 0))</f>
        <v>0</v>
      </c>
      <c r="J278" s="3"/>
      <c r="K278" s="4">
        <f t="shared" si="4"/>
        <v>0</v>
      </c>
    </row>
    <row r="279" spans="1:11" ht="19.95" customHeight="1" x14ac:dyDescent="0.3">
      <c r="A279" s="3"/>
      <c r="B279" s="3"/>
      <c r="C279" s="4"/>
      <c r="D279" s="4"/>
      <c r="E279" s="4"/>
      <c r="F279" s="4"/>
      <c r="G279" s="4"/>
      <c r="H279" s="4"/>
      <c r="I279" s="4">
        <f>IF(ISNUMBER(J279), J279, IFERROR(INDEX(FICHAS!$A:$AAA, MATCH(A279, FICHAS!$A:$A, 0), MATCH("✏️ UF DISTRIBUIR (Escriba Aquí)", FICHAS!$3:$3, 0)) / COUNTIF(A:A, A279), 0))</f>
        <v>0</v>
      </c>
      <c r="J279" s="3"/>
      <c r="K279" s="4">
        <f t="shared" si="4"/>
        <v>0</v>
      </c>
    </row>
    <row r="280" spans="1:11" ht="19.95" customHeight="1" x14ac:dyDescent="0.3">
      <c r="A280" s="3"/>
      <c r="B280" s="3"/>
      <c r="C280" s="4"/>
      <c r="D280" s="4"/>
      <c r="E280" s="4"/>
      <c r="F280" s="4"/>
      <c r="G280" s="4"/>
      <c r="H280" s="4"/>
      <c r="I280" s="4">
        <f>IF(ISNUMBER(J280), J280, IFERROR(INDEX(FICHAS!$A:$AAA, MATCH(A280, FICHAS!$A:$A, 0), MATCH("✏️ UF DISTRIBUIR (Escriba Aquí)", FICHAS!$3:$3, 0)) / COUNTIF(A:A, A280), 0))</f>
        <v>0</v>
      </c>
      <c r="J280" s="3"/>
      <c r="K280" s="4">
        <f t="shared" si="4"/>
        <v>0</v>
      </c>
    </row>
    <row r="281" spans="1:11" ht="19.95" customHeight="1" x14ac:dyDescent="0.3">
      <c r="A281" s="3"/>
      <c r="B281" s="3"/>
      <c r="C281" s="4"/>
      <c r="D281" s="4"/>
      <c r="E281" s="4"/>
      <c r="F281" s="4"/>
      <c r="G281" s="4"/>
      <c r="H281" s="4"/>
      <c r="I281" s="4">
        <f>IF(ISNUMBER(J281), J281, IFERROR(INDEX(FICHAS!$A:$AAA, MATCH(A281, FICHAS!$A:$A, 0), MATCH("✏️ UF DISTRIBUIR (Escriba Aquí)", FICHAS!$3:$3, 0)) / COUNTIF(A:A, A281), 0))</f>
        <v>0</v>
      </c>
      <c r="J281" s="3"/>
      <c r="K281" s="4">
        <f t="shared" si="4"/>
        <v>0</v>
      </c>
    </row>
    <row r="282" spans="1:11" ht="19.95" customHeight="1" x14ac:dyDescent="0.3">
      <c r="A282" s="3"/>
      <c r="B282" s="3"/>
      <c r="C282" s="4"/>
      <c r="D282" s="4"/>
      <c r="E282" s="4"/>
      <c r="F282" s="4"/>
      <c r="G282" s="4"/>
      <c r="H282" s="4"/>
      <c r="I282" s="4">
        <f>IF(ISNUMBER(J282), J282, IFERROR(INDEX(FICHAS!$A:$AAA, MATCH(A282, FICHAS!$A:$A, 0), MATCH("✏️ UF DISTRIBUIR (Escriba Aquí)", FICHAS!$3:$3, 0)) / COUNTIF(A:A, A282), 0))</f>
        <v>0</v>
      </c>
      <c r="J282" s="3"/>
      <c r="K282" s="4">
        <f t="shared" si="4"/>
        <v>0</v>
      </c>
    </row>
    <row r="283" spans="1:11" ht="19.95" customHeight="1" x14ac:dyDescent="0.3">
      <c r="A283" s="3"/>
      <c r="B283" s="3"/>
      <c r="C283" s="4"/>
      <c r="D283" s="4"/>
      <c r="E283" s="4"/>
      <c r="F283" s="4"/>
      <c r="G283" s="4"/>
      <c r="H283" s="4"/>
      <c r="I283" s="4">
        <f>IF(ISNUMBER(J283), J283, IFERROR(INDEX(FICHAS!$A:$AAA, MATCH(A283, FICHAS!$A:$A, 0), MATCH("✏️ UF DISTRIBUIR (Escriba Aquí)", FICHAS!$3:$3, 0)) / COUNTIF(A:A, A283), 0))</f>
        <v>0</v>
      </c>
      <c r="J283" s="3"/>
      <c r="K283" s="4">
        <f t="shared" si="4"/>
        <v>0</v>
      </c>
    </row>
    <row r="284" spans="1:11" ht="19.95" customHeight="1" x14ac:dyDescent="0.3">
      <c r="A284" s="3"/>
      <c r="B284" s="3"/>
      <c r="C284" s="4"/>
      <c r="D284" s="4"/>
      <c r="E284" s="4"/>
      <c r="F284" s="4"/>
      <c r="G284" s="4"/>
      <c r="H284" s="4"/>
      <c r="I284" s="4">
        <f>IF(ISNUMBER(J284), J284, IFERROR(INDEX(FICHAS!$A:$AAA, MATCH(A284, FICHAS!$A:$A, 0), MATCH("✏️ UF DISTRIBUIR (Escriba Aquí)", FICHAS!$3:$3, 0)) / COUNTIF(A:A, A284), 0))</f>
        <v>0</v>
      </c>
      <c r="J284" s="3"/>
      <c r="K284" s="4">
        <f t="shared" si="4"/>
        <v>0</v>
      </c>
    </row>
    <row r="285" spans="1:11" ht="19.95" customHeight="1" x14ac:dyDescent="0.3">
      <c r="A285" s="3"/>
      <c r="B285" s="3"/>
      <c r="C285" s="4"/>
      <c r="D285" s="4"/>
      <c r="E285" s="4"/>
      <c r="F285" s="4"/>
      <c r="G285" s="4"/>
      <c r="H285" s="4"/>
      <c r="I285" s="4">
        <f>IF(ISNUMBER(J285), J285, IFERROR(INDEX(FICHAS!$A:$AAA, MATCH(A285, FICHAS!$A:$A, 0), MATCH("✏️ UF DISTRIBUIR (Escriba Aquí)", FICHAS!$3:$3, 0)) / COUNTIF(A:A, A285), 0))</f>
        <v>0</v>
      </c>
      <c r="J285" s="3"/>
      <c r="K285" s="4">
        <f t="shared" si="4"/>
        <v>0</v>
      </c>
    </row>
    <row r="286" spans="1:11" ht="19.95" customHeight="1" x14ac:dyDescent="0.3">
      <c r="A286" s="3"/>
      <c r="B286" s="3"/>
      <c r="C286" s="4"/>
      <c r="D286" s="4"/>
      <c r="E286" s="4"/>
      <c r="F286" s="4"/>
      <c r="G286" s="4"/>
      <c r="H286" s="4"/>
      <c r="I286" s="4">
        <f>IF(ISNUMBER(J286), J286, IFERROR(INDEX(FICHAS!$A:$AAA, MATCH(A286, FICHAS!$A:$A, 0), MATCH("✏️ UF DISTRIBUIR (Escriba Aquí)", FICHAS!$3:$3, 0)) / COUNTIF(A:A, A286), 0))</f>
        <v>0</v>
      </c>
      <c r="J286" s="3"/>
      <c r="K286" s="4">
        <f t="shared" si="4"/>
        <v>0</v>
      </c>
    </row>
    <row r="287" spans="1:11" ht="19.95" customHeight="1" x14ac:dyDescent="0.3">
      <c r="A287" s="3"/>
      <c r="B287" s="3"/>
      <c r="C287" s="4"/>
      <c r="D287" s="4"/>
      <c r="E287" s="4"/>
      <c r="F287" s="4"/>
      <c r="G287" s="4"/>
      <c r="H287" s="4"/>
      <c r="I287" s="4">
        <f>IF(ISNUMBER(J287), J287, IFERROR(INDEX(FICHAS!$A:$AAA, MATCH(A287, FICHAS!$A:$A, 0), MATCH("✏️ UF DISTRIBUIR (Escriba Aquí)", FICHAS!$3:$3, 0)) / COUNTIF(A:A, A287), 0))</f>
        <v>0</v>
      </c>
      <c r="J287" s="3"/>
      <c r="K287" s="4">
        <f t="shared" si="4"/>
        <v>0</v>
      </c>
    </row>
    <row r="288" spans="1:11" ht="19.95" customHeight="1" x14ac:dyDescent="0.3">
      <c r="A288" s="3"/>
      <c r="B288" s="3"/>
      <c r="C288" s="4"/>
      <c r="D288" s="4"/>
      <c r="E288" s="4"/>
      <c r="F288" s="4"/>
      <c r="G288" s="4"/>
      <c r="H288" s="4"/>
      <c r="I288" s="4">
        <f>IF(ISNUMBER(J288), J288, IFERROR(INDEX(FICHAS!$A:$AAA, MATCH(A288, FICHAS!$A:$A, 0), MATCH("✏️ UF DISTRIBUIR (Escriba Aquí)", FICHAS!$3:$3, 0)) / COUNTIF(A:A, A288), 0))</f>
        <v>0</v>
      </c>
      <c r="J288" s="3"/>
      <c r="K288" s="4">
        <f t="shared" si="4"/>
        <v>0</v>
      </c>
    </row>
    <row r="289" spans="1:11" ht="19.95" customHeight="1" x14ac:dyDescent="0.3">
      <c r="A289" s="3"/>
      <c r="B289" s="3"/>
      <c r="C289" s="4"/>
      <c r="D289" s="4"/>
      <c r="E289" s="4"/>
      <c r="F289" s="4"/>
      <c r="G289" s="4"/>
      <c r="H289" s="4"/>
      <c r="I289" s="4">
        <f>IF(ISNUMBER(J289), J289, IFERROR(INDEX(FICHAS!$A:$AAA, MATCH(A289, FICHAS!$A:$A, 0), MATCH("✏️ UF DISTRIBUIR (Escriba Aquí)", FICHAS!$3:$3, 0)) / COUNTIF(A:A, A289), 0))</f>
        <v>0</v>
      </c>
      <c r="J289" s="3"/>
      <c r="K289" s="4">
        <f t="shared" si="4"/>
        <v>0</v>
      </c>
    </row>
    <row r="290" spans="1:11" ht="19.95" customHeight="1" x14ac:dyDescent="0.3">
      <c r="A290" s="3"/>
      <c r="B290" s="3"/>
      <c r="C290" s="4"/>
      <c r="D290" s="4"/>
      <c r="E290" s="4"/>
      <c r="F290" s="4"/>
      <c r="G290" s="4"/>
      <c r="H290" s="4"/>
      <c r="I290" s="4">
        <f>IF(ISNUMBER(J290), J290, IFERROR(INDEX(FICHAS!$A:$AAA, MATCH(A290, FICHAS!$A:$A, 0), MATCH("✏️ UF DISTRIBUIR (Escriba Aquí)", FICHAS!$3:$3, 0)) / COUNTIF(A:A, A290), 0))</f>
        <v>0</v>
      </c>
      <c r="J290" s="3"/>
      <c r="K290" s="4">
        <f t="shared" si="4"/>
        <v>0</v>
      </c>
    </row>
    <row r="291" spans="1:11" ht="19.95" customHeight="1" x14ac:dyDescent="0.3">
      <c r="A291" s="3"/>
      <c r="B291" s="3"/>
      <c r="C291" s="4"/>
      <c r="D291" s="4"/>
      <c r="E291" s="4"/>
      <c r="F291" s="4"/>
      <c r="G291" s="4"/>
      <c r="H291" s="4"/>
      <c r="I291" s="4">
        <f>IF(ISNUMBER(J291), J291, IFERROR(INDEX(FICHAS!$A:$AAA, MATCH(A291, FICHAS!$A:$A, 0), MATCH("✏️ UF DISTRIBUIR (Escriba Aquí)", FICHAS!$3:$3, 0)) / COUNTIF(A:A, A291), 0))</f>
        <v>0</v>
      </c>
      <c r="J291" s="3"/>
      <c r="K291" s="4">
        <f t="shared" si="4"/>
        <v>0</v>
      </c>
    </row>
    <row r="292" spans="1:11" ht="19.95" customHeight="1" x14ac:dyDescent="0.3">
      <c r="A292" s="3"/>
      <c r="B292" s="3"/>
      <c r="C292" s="4"/>
      <c r="D292" s="4"/>
      <c r="E292" s="4"/>
      <c r="F292" s="4"/>
      <c r="G292" s="4"/>
      <c r="H292" s="4"/>
      <c r="I292" s="4">
        <f>IF(ISNUMBER(J292), J292, IFERROR(INDEX(FICHAS!$A:$AAA, MATCH(A292, FICHAS!$A:$A, 0), MATCH("✏️ UF DISTRIBUIR (Escriba Aquí)", FICHAS!$3:$3, 0)) / COUNTIF(A:A, A292), 0))</f>
        <v>0</v>
      </c>
      <c r="J292" s="3"/>
      <c r="K292" s="4">
        <f t="shared" si="4"/>
        <v>0</v>
      </c>
    </row>
    <row r="293" spans="1:11" ht="19.95" customHeight="1" x14ac:dyDescent="0.3">
      <c r="A293" s="3"/>
      <c r="B293" s="3"/>
      <c r="C293" s="4"/>
      <c r="D293" s="4"/>
      <c r="E293" s="4"/>
      <c r="F293" s="4"/>
      <c r="G293" s="4"/>
      <c r="H293" s="4"/>
      <c r="I293" s="4">
        <f>IF(ISNUMBER(J293), J293, IFERROR(INDEX(FICHAS!$A:$AAA, MATCH(A293, FICHAS!$A:$A, 0), MATCH("✏️ UF DISTRIBUIR (Escriba Aquí)", FICHAS!$3:$3, 0)) / COUNTIF(A:A, A293), 0))</f>
        <v>0</v>
      </c>
      <c r="J293" s="3"/>
      <c r="K293" s="4">
        <f t="shared" si="4"/>
        <v>0</v>
      </c>
    </row>
    <row r="294" spans="1:11" ht="19.95" customHeight="1" x14ac:dyDescent="0.3">
      <c r="A294" s="3"/>
      <c r="B294" s="3"/>
      <c r="C294" s="4"/>
      <c r="D294" s="4"/>
      <c r="E294" s="4"/>
      <c r="F294" s="4"/>
      <c r="G294" s="4"/>
      <c r="H294" s="4"/>
      <c r="I294" s="4">
        <f>IF(ISNUMBER(J294), J294, IFERROR(INDEX(FICHAS!$A:$AAA, MATCH(A294, FICHAS!$A:$A, 0), MATCH("✏️ UF DISTRIBUIR (Escriba Aquí)", FICHAS!$3:$3, 0)) / COUNTIF(A:A, A294), 0))</f>
        <v>0</v>
      </c>
      <c r="J294" s="3"/>
      <c r="K294" s="4">
        <f t="shared" si="4"/>
        <v>0</v>
      </c>
    </row>
    <row r="295" spans="1:11" ht="19.95" customHeight="1" x14ac:dyDescent="0.3">
      <c r="A295" s="3"/>
      <c r="B295" s="3"/>
      <c r="C295" s="4"/>
      <c r="D295" s="4"/>
      <c r="E295" s="4"/>
      <c r="F295" s="4"/>
      <c r="G295" s="4"/>
      <c r="H295" s="4"/>
      <c r="I295" s="4">
        <f>IF(ISNUMBER(J295), J295, IFERROR(INDEX(FICHAS!$A:$AAA, MATCH(A295, FICHAS!$A:$A, 0), MATCH("✏️ UF DISTRIBUIR (Escriba Aquí)", FICHAS!$3:$3, 0)) / COUNTIF(A:A, A295), 0))</f>
        <v>0</v>
      </c>
      <c r="J295" s="3"/>
      <c r="K295" s="4">
        <f t="shared" si="4"/>
        <v>0</v>
      </c>
    </row>
    <row r="296" spans="1:11" ht="19.95" customHeight="1" x14ac:dyDescent="0.3">
      <c r="A296" s="3"/>
      <c r="B296" s="3"/>
      <c r="C296" s="4"/>
      <c r="D296" s="4"/>
      <c r="E296" s="4"/>
      <c r="F296" s="4"/>
      <c r="G296" s="4"/>
      <c r="H296" s="4"/>
      <c r="I296" s="4">
        <f>IF(ISNUMBER(J296), J296, IFERROR(INDEX(FICHAS!$A:$AAA, MATCH(A296, FICHAS!$A:$A, 0), MATCH("✏️ UF DISTRIBUIR (Escriba Aquí)", FICHAS!$3:$3, 0)) / COUNTIF(A:A, A296), 0))</f>
        <v>0</v>
      </c>
      <c r="J296" s="3"/>
      <c r="K296" s="4">
        <f t="shared" si="4"/>
        <v>0</v>
      </c>
    </row>
    <row r="297" spans="1:11" ht="19.95" customHeight="1" x14ac:dyDescent="0.3">
      <c r="A297" s="3"/>
      <c r="B297" s="3"/>
      <c r="C297" s="4"/>
      <c r="D297" s="4"/>
      <c r="E297" s="4"/>
      <c r="F297" s="4"/>
      <c r="G297" s="4"/>
      <c r="H297" s="4"/>
      <c r="I297" s="4">
        <f>IF(ISNUMBER(J297), J297, IFERROR(INDEX(FICHAS!$A:$AAA, MATCH(A297, FICHAS!$A:$A, 0), MATCH("✏️ UF DISTRIBUIR (Escriba Aquí)", FICHAS!$3:$3, 0)) / COUNTIF(A:A, A297), 0))</f>
        <v>0</v>
      </c>
      <c r="J297" s="3"/>
      <c r="K297" s="4">
        <f t="shared" si="4"/>
        <v>0</v>
      </c>
    </row>
    <row r="298" spans="1:11" ht="19.95" customHeight="1" x14ac:dyDescent="0.3">
      <c r="A298" s="3"/>
      <c r="B298" s="3"/>
      <c r="C298" s="4"/>
      <c r="D298" s="4"/>
      <c r="E298" s="4"/>
      <c r="F298" s="4"/>
      <c r="G298" s="4"/>
      <c r="H298" s="4"/>
      <c r="I298" s="4">
        <f>IF(ISNUMBER(J298), J298, IFERROR(INDEX(FICHAS!$A:$AAA, MATCH(A298, FICHAS!$A:$A, 0), MATCH("✏️ UF DISTRIBUIR (Escriba Aquí)", FICHAS!$3:$3, 0)) / COUNTIF(A:A, A298), 0))</f>
        <v>0</v>
      </c>
      <c r="J298" s="3"/>
      <c r="K298" s="4">
        <f t="shared" si="4"/>
        <v>0</v>
      </c>
    </row>
    <row r="299" spans="1:11" ht="19.95" customHeight="1" x14ac:dyDescent="0.3">
      <c r="A299" s="3"/>
      <c r="B299" s="3"/>
      <c r="C299" s="4"/>
      <c r="D299" s="4"/>
      <c r="E299" s="4"/>
      <c r="F299" s="4"/>
      <c r="G299" s="4"/>
      <c r="H299" s="4"/>
      <c r="I299" s="4">
        <f>IF(ISNUMBER(J299), J299, IFERROR(INDEX(FICHAS!$A:$AAA, MATCH(A299, FICHAS!$A:$A, 0), MATCH("✏️ UF DISTRIBUIR (Escriba Aquí)", FICHAS!$3:$3, 0)) / COUNTIF(A:A, A299), 0))</f>
        <v>0</v>
      </c>
      <c r="J299" s="3"/>
      <c r="K299" s="4">
        <f t="shared" si="4"/>
        <v>0</v>
      </c>
    </row>
    <row r="300" spans="1:11" ht="19.95" customHeight="1" x14ac:dyDescent="0.3">
      <c r="A300" s="3"/>
      <c r="B300" s="3"/>
      <c r="C300" s="4"/>
      <c r="D300" s="4"/>
      <c r="E300" s="4"/>
      <c r="F300" s="4"/>
      <c r="G300" s="4"/>
      <c r="H300" s="4"/>
      <c r="I300" s="4">
        <f>IF(ISNUMBER(J300), J300, IFERROR(INDEX(FICHAS!$A:$AAA, MATCH(A300, FICHAS!$A:$A, 0), MATCH("✏️ UF DISTRIBUIR (Escriba Aquí)", FICHAS!$3:$3, 0)) / COUNTIF(A:A, A300), 0))</f>
        <v>0</v>
      </c>
      <c r="J300" s="3"/>
      <c r="K300" s="4">
        <f t="shared" si="4"/>
        <v>0</v>
      </c>
    </row>
    <row r="301" spans="1:11" ht="19.95" customHeight="1" x14ac:dyDescent="0.3">
      <c r="A301" s="3"/>
      <c r="B301" s="3"/>
      <c r="C301" s="4"/>
      <c r="D301" s="4"/>
      <c r="E301" s="4"/>
      <c r="F301" s="4"/>
      <c r="G301" s="4"/>
      <c r="H301" s="4"/>
      <c r="I301" s="4">
        <f>IF(ISNUMBER(J301), J301, IFERROR(INDEX(FICHAS!$A:$AAA, MATCH(A301, FICHAS!$A:$A, 0), MATCH("✏️ UF DISTRIBUIR (Escriba Aquí)", FICHAS!$3:$3, 0)) / COUNTIF(A:A, A301), 0))</f>
        <v>0</v>
      </c>
      <c r="J301" s="3"/>
      <c r="K301" s="4">
        <f t="shared" si="4"/>
        <v>0</v>
      </c>
    </row>
    <row r="302" spans="1:11" ht="19.95" customHeight="1" x14ac:dyDescent="0.3">
      <c r="A302" s="3"/>
      <c r="B302" s="3"/>
      <c r="C302" s="4"/>
      <c r="D302" s="4"/>
      <c r="E302" s="4"/>
      <c r="F302" s="4"/>
      <c r="G302" s="4"/>
      <c r="H302" s="4"/>
      <c r="I302" s="4">
        <f>IF(ISNUMBER(J302), J302, IFERROR(INDEX(FICHAS!$A:$AAA, MATCH(A302, FICHAS!$A:$A, 0), MATCH("✏️ UF DISTRIBUIR (Escriba Aquí)", FICHAS!$3:$3, 0)) / COUNTIF(A:A, A302), 0))</f>
        <v>0</v>
      </c>
      <c r="J302" s="3"/>
      <c r="K302" s="4">
        <f t="shared" si="4"/>
        <v>0</v>
      </c>
    </row>
    <row r="303" spans="1:11" ht="19.95" customHeight="1" x14ac:dyDescent="0.3">
      <c r="A303" s="3"/>
      <c r="B303" s="3"/>
      <c r="C303" s="4"/>
      <c r="D303" s="4"/>
      <c r="E303" s="4"/>
      <c r="F303" s="4"/>
      <c r="G303" s="4"/>
      <c r="H303" s="4"/>
      <c r="I303" s="4">
        <f>IF(ISNUMBER(J303), J303, IFERROR(INDEX(FICHAS!$A:$AAA, MATCH(A303, FICHAS!$A:$A, 0), MATCH("✏️ UF DISTRIBUIR (Escriba Aquí)", FICHAS!$3:$3, 0)) / COUNTIF(A:A, A303), 0))</f>
        <v>0</v>
      </c>
      <c r="J303" s="3"/>
      <c r="K303" s="4">
        <f t="shared" si="4"/>
        <v>0</v>
      </c>
    </row>
    <row r="304" spans="1:11" ht="19.95" customHeight="1" x14ac:dyDescent="0.3">
      <c r="A304" s="3"/>
      <c r="B304" s="3"/>
      <c r="C304" s="4"/>
      <c r="D304" s="4"/>
      <c r="E304" s="4"/>
      <c r="F304" s="4"/>
      <c r="G304" s="4"/>
      <c r="H304" s="4"/>
      <c r="I304" s="4">
        <f>IF(ISNUMBER(J304), J304, IFERROR(INDEX(FICHAS!$A:$AAA, MATCH(A304, FICHAS!$A:$A, 0), MATCH("✏️ UF DISTRIBUIR (Escriba Aquí)", FICHAS!$3:$3, 0)) / COUNTIF(A:A, A304), 0))</f>
        <v>0</v>
      </c>
      <c r="J304" s="3"/>
      <c r="K304" s="4">
        <f t="shared" si="4"/>
        <v>0</v>
      </c>
    </row>
    <row r="305" spans="1:11" ht="19.95" customHeight="1" x14ac:dyDescent="0.3">
      <c r="A305" s="3"/>
      <c r="B305" s="3"/>
      <c r="C305" s="4"/>
      <c r="D305" s="4"/>
      <c r="E305" s="4"/>
      <c r="F305" s="4"/>
      <c r="G305" s="4"/>
      <c r="H305" s="4"/>
      <c r="I305" s="4">
        <f>IF(ISNUMBER(J305), J305, IFERROR(INDEX(FICHAS!$A:$AAA, MATCH(A305, FICHAS!$A:$A, 0), MATCH("✏️ UF DISTRIBUIR (Escriba Aquí)", FICHAS!$3:$3, 0)) / COUNTIF(A:A, A305), 0))</f>
        <v>0</v>
      </c>
      <c r="J305" s="3"/>
      <c r="K305" s="4">
        <f t="shared" si="4"/>
        <v>0</v>
      </c>
    </row>
    <row r="306" spans="1:11" ht="19.95" customHeight="1" x14ac:dyDescent="0.3">
      <c r="A306" s="3"/>
      <c r="B306" s="3"/>
      <c r="C306" s="4"/>
      <c r="D306" s="4"/>
      <c r="E306" s="4"/>
      <c r="F306" s="4"/>
      <c r="G306" s="4"/>
      <c r="H306" s="4"/>
      <c r="I306" s="4">
        <f>IF(ISNUMBER(J306), J306, IFERROR(INDEX(FICHAS!$A:$AAA, MATCH(A306, FICHAS!$A:$A, 0), MATCH("✏️ UF DISTRIBUIR (Escriba Aquí)", FICHAS!$3:$3, 0)) / COUNTIF(A:A, A306), 0))</f>
        <v>0</v>
      </c>
      <c r="J306" s="3"/>
      <c r="K306" s="4">
        <f t="shared" si="4"/>
        <v>0</v>
      </c>
    </row>
    <row r="307" spans="1:11" ht="19.95" customHeight="1" x14ac:dyDescent="0.3">
      <c r="A307" s="3"/>
      <c r="B307" s="3"/>
      <c r="C307" s="4"/>
      <c r="D307" s="4"/>
      <c r="E307" s="4"/>
      <c r="F307" s="4"/>
      <c r="G307" s="4"/>
      <c r="H307" s="4"/>
      <c r="I307" s="4">
        <f>IF(ISNUMBER(J307), J307, IFERROR(INDEX(FICHAS!$A:$AAA, MATCH(A307, FICHAS!$A:$A, 0), MATCH("✏️ UF DISTRIBUIR (Escriba Aquí)", FICHAS!$3:$3, 0)) / COUNTIF(A:A, A307), 0))</f>
        <v>0</v>
      </c>
      <c r="J307" s="3"/>
      <c r="K307" s="4">
        <f t="shared" si="4"/>
        <v>0</v>
      </c>
    </row>
    <row r="308" spans="1:11" ht="19.95" customHeight="1" x14ac:dyDescent="0.3">
      <c r="A308" s="3"/>
      <c r="B308" s="3"/>
      <c r="C308" s="4"/>
      <c r="D308" s="4"/>
      <c r="E308" s="4"/>
      <c r="F308" s="4"/>
      <c r="G308" s="4"/>
      <c r="H308" s="4"/>
      <c r="I308" s="4">
        <f>IF(ISNUMBER(J308), J308, IFERROR(INDEX(FICHAS!$A:$AAA, MATCH(A308, FICHAS!$A:$A, 0), MATCH("✏️ UF DISTRIBUIR (Escriba Aquí)", FICHAS!$3:$3, 0)) / COUNTIF(A:A, A308), 0))</f>
        <v>0</v>
      </c>
      <c r="J308" s="3"/>
      <c r="K308" s="4">
        <f t="shared" si="4"/>
        <v>0</v>
      </c>
    </row>
    <row r="309" spans="1:11" ht="19.95" customHeight="1" x14ac:dyDescent="0.3">
      <c r="A309" s="3"/>
      <c r="B309" s="3"/>
      <c r="C309" s="4"/>
      <c r="D309" s="4"/>
      <c r="E309" s="4"/>
      <c r="F309" s="4"/>
      <c r="G309" s="4"/>
      <c r="H309" s="4"/>
      <c r="I309" s="4">
        <f>IF(ISNUMBER(J309), J309, IFERROR(INDEX(FICHAS!$A:$AAA, MATCH(A309, FICHAS!$A:$A, 0), MATCH("✏️ UF DISTRIBUIR (Escriba Aquí)", FICHAS!$3:$3, 0)) / COUNTIF(A:A, A309), 0))</f>
        <v>0</v>
      </c>
      <c r="J309" s="3"/>
      <c r="K309" s="4">
        <f t="shared" si="4"/>
        <v>0</v>
      </c>
    </row>
    <row r="310" spans="1:11" ht="19.95" customHeight="1" x14ac:dyDescent="0.3">
      <c r="A310" s="3"/>
      <c r="B310" s="3"/>
      <c r="C310" s="4"/>
      <c r="D310" s="4"/>
      <c r="E310" s="4"/>
      <c r="F310" s="4"/>
      <c r="G310" s="4"/>
      <c r="H310" s="4"/>
      <c r="I310" s="4">
        <f>IF(ISNUMBER(J310), J310, IFERROR(INDEX(FICHAS!$A:$AAA, MATCH(A310, FICHAS!$A:$A, 0), MATCH("✏️ UF DISTRIBUIR (Escriba Aquí)", FICHAS!$3:$3, 0)) / COUNTIF(A:A, A310), 0))</f>
        <v>0</v>
      </c>
      <c r="J310" s="3"/>
      <c r="K310" s="4">
        <f t="shared" si="4"/>
        <v>0</v>
      </c>
    </row>
    <row r="311" spans="1:11" ht="19.95" customHeight="1" x14ac:dyDescent="0.3">
      <c r="A311" s="3"/>
      <c r="B311" s="3"/>
      <c r="C311" s="4"/>
      <c r="D311" s="4"/>
      <c r="E311" s="4"/>
      <c r="F311" s="4"/>
      <c r="G311" s="4"/>
      <c r="H311" s="4"/>
      <c r="I311" s="4">
        <f>IF(ISNUMBER(J311), J311, IFERROR(INDEX(FICHAS!$A:$AAA, MATCH(A311, FICHAS!$A:$A, 0), MATCH("✏️ UF DISTRIBUIR (Escriba Aquí)", FICHAS!$3:$3, 0)) / COUNTIF(A:A, A311), 0))</f>
        <v>0</v>
      </c>
      <c r="J311" s="3"/>
      <c r="K311" s="4">
        <f t="shared" si="4"/>
        <v>0</v>
      </c>
    </row>
    <row r="312" spans="1:11" ht="19.95" customHeight="1" x14ac:dyDescent="0.3">
      <c r="A312" s="3"/>
      <c r="B312" s="3"/>
      <c r="C312" s="4"/>
      <c r="D312" s="4"/>
      <c r="E312" s="4"/>
      <c r="F312" s="4"/>
      <c r="G312" s="4"/>
      <c r="H312" s="4"/>
      <c r="I312" s="4">
        <f>IF(ISNUMBER(J312), J312, IFERROR(INDEX(FICHAS!$A:$AAA, MATCH(A312, FICHAS!$A:$A, 0), MATCH("✏️ UF DISTRIBUIR (Escriba Aquí)", FICHAS!$3:$3, 0)) / COUNTIF(A:A, A312), 0))</f>
        <v>0</v>
      </c>
      <c r="J312" s="3"/>
      <c r="K312" s="4">
        <f t="shared" si="4"/>
        <v>0</v>
      </c>
    </row>
    <row r="313" spans="1:11" ht="19.95" customHeight="1" x14ac:dyDescent="0.3">
      <c r="A313" s="3"/>
      <c r="B313" s="3"/>
      <c r="C313" s="4"/>
      <c r="D313" s="4"/>
      <c r="E313" s="4"/>
      <c r="F313" s="4"/>
      <c r="G313" s="4"/>
      <c r="H313" s="4"/>
      <c r="I313" s="4">
        <f>IF(ISNUMBER(J313), J313, IFERROR(INDEX(FICHAS!$A:$AAA, MATCH(A313, FICHAS!$A:$A, 0), MATCH("✏️ UF DISTRIBUIR (Escriba Aquí)", FICHAS!$3:$3, 0)) / COUNTIF(A:A, A313), 0))</f>
        <v>0</v>
      </c>
      <c r="J313" s="3"/>
      <c r="K313" s="4">
        <f t="shared" si="4"/>
        <v>0</v>
      </c>
    </row>
    <row r="314" spans="1:11" ht="19.95" customHeight="1" x14ac:dyDescent="0.3">
      <c r="A314" s="3"/>
      <c r="B314" s="3"/>
      <c r="C314" s="4"/>
      <c r="D314" s="4"/>
      <c r="E314" s="4"/>
      <c r="F314" s="4"/>
      <c r="G314" s="4"/>
      <c r="H314" s="4"/>
      <c r="I314" s="4">
        <f>IF(ISNUMBER(J314), J314, IFERROR(INDEX(FICHAS!$A:$AAA, MATCH(A314, FICHAS!$A:$A, 0), MATCH("✏️ UF DISTRIBUIR (Escriba Aquí)", FICHAS!$3:$3, 0)) / COUNTIF(A:A, A314), 0))</f>
        <v>0</v>
      </c>
      <c r="J314" s="3"/>
      <c r="K314" s="4">
        <f t="shared" si="4"/>
        <v>0</v>
      </c>
    </row>
    <row r="315" spans="1:11" ht="19.95" customHeight="1" x14ac:dyDescent="0.3">
      <c r="A315" s="3"/>
      <c r="B315" s="3"/>
      <c r="C315" s="4"/>
      <c r="D315" s="4"/>
      <c r="E315" s="4"/>
      <c r="F315" s="4"/>
      <c r="G315" s="4"/>
      <c r="H315" s="4"/>
      <c r="I315" s="4">
        <f>IF(ISNUMBER(J315), J315, IFERROR(INDEX(FICHAS!$A:$AAA, MATCH(A315, FICHAS!$A:$A, 0), MATCH("✏️ UF DISTRIBUIR (Escriba Aquí)", FICHAS!$3:$3, 0)) / COUNTIF(A:A, A315), 0))</f>
        <v>0</v>
      </c>
      <c r="J315" s="3"/>
      <c r="K315" s="4">
        <f t="shared" si="4"/>
        <v>0</v>
      </c>
    </row>
    <row r="316" spans="1:11" ht="19.95" customHeight="1" x14ac:dyDescent="0.3">
      <c r="A316" s="3"/>
      <c r="B316" s="3"/>
      <c r="C316" s="4"/>
      <c r="D316" s="4"/>
      <c r="E316" s="4"/>
      <c r="F316" s="4"/>
      <c r="G316" s="4"/>
      <c r="H316" s="4"/>
      <c r="I316" s="4">
        <f>IF(ISNUMBER(J316), J316, IFERROR(INDEX(FICHAS!$A:$AAA, MATCH(A316, FICHAS!$A:$A, 0), MATCH("✏️ UF DISTRIBUIR (Escriba Aquí)", FICHAS!$3:$3, 0)) / COUNTIF(A:A, A316), 0))</f>
        <v>0</v>
      </c>
      <c r="J316" s="3"/>
      <c r="K316" s="4">
        <f t="shared" si="4"/>
        <v>0</v>
      </c>
    </row>
    <row r="317" spans="1:11" ht="19.95" customHeight="1" x14ac:dyDescent="0.3">
      <c r="A317" s="3"/>
      <c r="B317" s="3"/>
      <c r="C317" s="4"/>
      <c r="D317" s="4"/>
      <c r="E317" s="4"/>
      <c r="F317" s="4"/>
      <c r="G317" s="4"/>
      <c r="H317" s="4"/>
      <c r="I317" s="4">
        <f>IF(ISNUMBER(J317), J317, IFERROR(INDEX(FICHAS!$A:$AAA, MATCH(A317, FICHAS!$A:$A, 0), MATCH("✏️ UF DISTRIBUIR (Escriba Aquí)", FICHAS!$3:$3, 0)) / COUNTIF(A:A, A317), 0))</f>
        <v>0</v>
      </c>
      <c r="J317" s="3"/>
      <c r="K317" s="4">
        <f t="shared" si="4"/>
        <v>0</v>
      </c>
    </row>
    <row r="318" spans="1:11" ht="19.95" customHeight="1" x14ac:dyDescent="0.3">
      <c r="A318" s="3"/>
      <c r="B318" s="3"/>
      <c r="C318" s="4"/>
      <c r="D318" s="4"/>
      <c r="E318" s="4"/>
      <c r="F318" s="4"/>
      <c r="G318" s="4"/>
      <c r="H318" s="4"/>
      <c r="I318" s="4">
        <f>IF(ISNUMBER(J318), J318, IFERROR(INDEX(FICHAS!$A:$AAA, MATCH(A318, FICHAS!$A:$A, 0), MATCH("✏️ UF DISTRIBUIR (Escriba Aquí)", FICHAS!$3:$3, 0)) / COUNTIF(A:A, A318), 0))</f>
        <v>0</v>
      </c>
      <c r="J318" s="3"/>
      <c r="K318" s="4">
        <f t="shared" si="4"/>
        <v>0</v>
      </c>
    </row>
    <row r="319" spans="1:11" ht="19.95" customHeight="1" x14ac:dyDescent="0.3">
      <c r="A319" s="3"/>
      <c r="B319" s="3"/>
      <c r="C319" s="4"/>
      <c r="D319" s="4"/>
      <c r="E319" s="4"/>
      <c r="F319" s="4"/>
      <c r="G319" s="4"/>
      <c r="H319" s="4"/>
      <c r="I319" s="4">
        <f>IF(ISNUMBER(J319), J319, IFERROR(INDEX(FICHAS!$A:$AAA, MATCH(A319, FICHAS!$A:$A, 0), MATCH("✏️ UF DISTRIBUIR (Escriba Aquí)", FICHAS!$3:$3, 0)) / COUNTIF(A:A, A319), 0))</f>
        <v>0</v>
      </c>
      <c r="J319" s="3"/>
      <c r="K319" s="4">
        <f t="shared" si="4"/>
        <v>0</v>
      </c>
    </row>
    <row r="320" spans="1:11" ht="19.95" customHeight="1" x14ac:dyDescent="0.3">
      <c r="A320" s="3"/>
      <c r="B320" s="3"/>
      <c r="C320" s="4"/>
      <c r="D320" s="4"/>
      <c r="E320" s="4"/>
      <c r="F320" s="4"/>
      <c r="G320" s="4"/>
      <c r="H320" s="4"/>
      <c r="I320" s="4">
        <f>IF(ISNUMBER(J320), J320, IFERROR(INDEX(FICHAS!$A:$AAA, MATCH(A320, FICHAS!$A:$A, 0), MATCH("✏️ UF DISTRIBUIR (Escriba Aquí)", FICHAS!$3:$3, 0)) / COUNTIF(A:A, A320), 0))</f>
        <v>0</v>
      </c>
      <c r="J320" s="3"/>
      <c r="K320" s="4">
        <f t="shared" si="4"/>
        <v>0</v>
      </c>
    </row>
    <row r="321" spans="1:11" ht="19.95" customHeight="1" x14ac:dyDescent="0.3">
      <c r="A321" s="3"/>
      <c r="B321" s="3"/>
      <c r="C321" s="4"/>
      <c r="D321" s="4"/>
      <c r="E321" s="4"/>
      <c r="F321" s="4"/>
      <c r="G321" s="4"/>
      <c r="H321" s="4"/>
      <c r="I321" s="4">
        <f>IF(ISNUMBER(J321), J321, IFERROR(INDEX(FICHAS!$A:$AAA, MATCH(A321, FICHAS!$A:$A, 0), MATCH("✏️ UF DISTRIBUIR (Escriba Aquí)", FICHAS!$3:$3, 0)) / COUNTIF(A:A, A321), 0))</f>
        <v>0</v>
      </c>
      <c r="J321" s="3"/>
      <c r="K321" s="4">
        <f t="shared" si="4"/>
        <v>0</v>
      </c>
    </row>
    <row r="322" spans="1:11" ht="19.95" customHeight="1" x14ac:dyDescent="0.3">
      <c r="A322" s="3"/>
      <c r="B322" s="3"/>
      <c r="C322" s="4"/>
      <c r="D322" s="4"/>
      <c r="E322" s="4"/>
      <c r="F322" s="4"/>
      <c r="G322" s="4"/>
      <c r="H322" s="4"/>
      <c r="I322" s="4">
        <f>IF(ISNUMBER(J322), J322, IFERROR(INDEX(FICHAS!$A:$AAA, MATCH(A322, FICHAS!$A:$A, 0), MATCH("✏️ UF DISTRIBUIR (Escriba Aquí)", FICHAS!$3:$3, 0)) / COUNTIF(A:A, A322), 0))</f>
        <v>0</v>
      </c>
      <c r="J322" s="3"/>
      <c r="K322" s="4">
        <f t="shared" si="4"/>
        <v>0</v>
      </c>
    </row>
    <row r="323" spans="1:11" ht="19.95" customHeight="1" x14ac:dyDescent="0.3">
      <c r="A323" s="3"/>
      <c r="B323" s="3"/>
      <c r="C323" s="4"/>
      <c r="D323" s="4"/>
      <c r="E323" s="4"/>
      <c r="F323" s="4"/>
      <c r="G323" s="4"/>
      <c r="H323" s="4"/>
      <c r="I323" s="4">
        <f>IF(ISNUMBER(J323), J323, IFERROR(INDEX(FICHAS!$A:$AAA, MATCH(A323, FICHAS!$A:$A, 0), MATCH("✏️ UF DISTRIBUIR (Escriba Aquí)", FICHAS!$3:$3, 0)) / COUNTIF(A:A, A323), 0))</f>
        <v>0</v>
      </c>
      <c r="J323" s="3"/>
      <c r="K323" s="4">
        <f t="shared" si="4"/>
        <v>0</v>
      </c>
    </row>
    <row r="324" spans="1:11" ht="19.95" customHeight="1" x14ac:dyDescent="0.3">
      <c r="A324" s="3"/>
      <c r="B324" s="3"/>
      <c r="C324" s="4"/>
      <c r="D324" s="4"/>
      <c r="E324" s="4"/>
      <c r="F324" s="4"/>
      <c r="G324" s="4"/>
      <c r="H324" s="4"/>
      <c r="I324" s="4">
        <f>IF(ISNUMBER(J324), J324, IFERROR(INDEX(FICHAS!$A:$AAA, MATCH(A324, FICHAS!$A:$A, 0), MATCH("✏️ UF DISTRIBUIR (Escriba Aquí)", FICHAS!$3:$3, 0)) / COUNTIF(A:A, A324), 0))</f>
        <v>0</v>
      </c>
      <c r="J324" s="3"/>
      <c r="K324" s="4">
        <f t="shared" si="4"/>
        <v>0</v>
      </c>
    </row>
    <row r="325" spans="1:11" ht="19.95" customHeight="1" x14ac:dyDescent="0.3">
      <c r="A325" s="3"/>
      <c r="B325" s="3"/>
      <c r="C325" s="4"/>
      <c r="D325" s="4"/>
      <c r="E325" s="4"/>
      <c r="F325" s="4"/>
      <c r="G325" s="4"/>
      <c r="H325" s="4"/>
      <c r="I325" s="4">
        <f>IF(ISNUMBER(J325), J325, IFERROR(INDEX(FICHAS!$A:$AAA, MATCH(A325, FICHAS!$A:$A, 0), MATCH("✏️ UF DISTRIBUIR (Escriba Aquí)", FICHAS!$3:$3, 0)) / COUNTIF(A:A, A325), 0))</f>
        <v>0</v>
      </c>
      <c r="J325" s="3"/>
      <c r="K325" s="4">
        <f t="shared" si="4"/>
        <v>0</v>
      </c>
    </row>
    <row r="326" spans="1:11" ht="19.95" customHeight="1" x14ac:dyDescent="0.3">
      <c r="A326" s="3"/>
      <c r="B326" s="3"/>
      <c r="C326" s="4"/>
      <c r="D326" s="4"/>
      <c r="E326" s="4"/>
      <c r="F326" s="4"/>
      <c r="G326" s="4"/>
      <c r="H326" s="4"/>
      <c r="I326" s="4">
        <f>IF(ISNUMBER(J326), J326, IFERROR(INDEX(FICHAS!$A:$AAA, MATCH(A326, FICHAS!$A:$A, 0), MATCH("✏️ UF DISTRIBUIR (Escriba Aquí)", FICHAS!$3:$3, 0)) / COUNTIF(A:A, A326), 0))</f>
        <v>0</v>
      </c>
      <c r="J326" s="3"/>
      <c r="K326" s="4">
        <f t="shared" si="4"/>
        <v>0</v>
      </c>
    </row>
    <row r="327" spans="1:11" ht="19.95" customHeight="1" x14ac:dyDescent="0.3">
      <c r="A327" s="3"/>
      <c r="B327" s="3"/>
      <c r="C327" s="4"/>
      <c r="D327" s="4"/>
      <c r="E327" s="4"/>
      <c r="F327" s="4"/>
      <c r="G327" s="4"/>
      <c r="H327" s="4"/>
      <c r="I327" s="4">
        <f>IF(ISNUMBER(J327), J327, IFERROR(INDEX(FICHAS!$A:$AAA, MATCH(A327, FICHAS!$A:$A, 0), MATCH("✏️ UF DISTRIBUIR (Escriba Aquí)", FICHAS!$3:$3, 0)) / COUNTIF(A:A, A327), 0))</f>
        <v>0</v>
      </c>
      <c r="J327" s="3"/>
      <c r="K327" s="4">
        <f t="shared" si="4"/>
        <v>0</v>
      </c>
    </row>
    <row r="328" spans="1:11" ht="19.95" customHeight="1" x14ac:dyDescent="0.3">
      <c r="A328" s="3"/>
      <c r="B328" s="3"/>
      <c r="C328" s="4"/>
      <c r="D328" s="4"/>
      <c r="E328" s="4"/>
      <c r="F328" s="4"/>
      <c r="G328" s="4"/>
      <c r="H328" s="4"/>
      <c r="I328" s="4">
        <f>IF(ISNUMBER(J328), J328, IFERROR(INDEX(FICHAS!$A:$AAA, MATCH(A328, FICHAS!$A:$A, 0), MATCH("✏️ UF DISTRIBUIR (Escriba Aquí)", FICHAS!$3:$3, 0)) / COUNTIF(A:A, A328), 0))</f>
        <v>0</v>
      </c>
      <c r="J328" s="3"/>
      <c r="K328" s="4">
        <f t="shared" si="4"/>
        <v>0</v>
      </c>
    </row>
    <row r="329" spans="1:11" ht="19.95" customHeight="1" x14ac:dyDescent="0.3">
      <c r="A329" s="3"/>
      <c r="B329" s="3"/>
      <c r="C329" s="4"/>
      <c r="D329" s="4"/>
      <c r="E329" s="4"/>
      <c r="F329" s="4"/>
      <c r="G329" s="4"/>
      <c r="H329" s="4"/>
      <c r="I329" s="4">
        <f>IF(ISNUMBER(J329), J329, IFERROR(INDEX(FICHAS!$A:$AAA, MATCH(A329, FICHAS!$A:$A, 0), MATCH("✏️ UF DISTRIBUIR (Escriba Aquí)", FICHAS!$3:$3, 0)) / COUNTIF(A:A, A329), 0))</f>
        <v>0</v>
      </c>
      <c r="J329" s="3"/>
      <c r="K329" s="4">
        <f t="shared" ref="K329:K392" si="5">IF(A329&lt;&gt;"",COUNTIF($A$4:$A$513,A329),0)</f>
        <v>0</v>
      </c>
    </row>
    <row r="330" spans="1:11" ht="19.95" customHeight="1" x14ac:dyDescent="0.3">
      <c r="A330" s="3"/>
      <c r="B330" s="3"/>
      <c r="C330" s="4"/>
      <c r="D330" s="4"/>
      <c r="E330" s="4"/>
      <c r="F330" s="4"/>
      <c r="G330" s="4"/>
      <c r="H330" s="4"/>
      <c r="I330" s="4">
        <f>IF(ISNUMBER(J330), J330, IFERROR(INDEX(FICHAS!$A:$AAA, MATCH(A330, FICHAS!$A:$A, 0), MATCH("✏️ UF DISTRIBUIR (Escriba Aquí)", FICHAS!$3:$3, 0)) / COUNTIF(A:A, A330), 0))</f>
        <v>0</v>
      </c>
      <c r="J330" s="3"/>
      <c r="K330" s="4">
        <f t="shared" si="5"/>
        <v>0</v>
      </c>
    </row>
    <row r="331" spans="1:11" ht="19.95" customHeight="1" x14ac:dyDescent="0.3">
      <c r="A331" s="3"/>
      <c r="B331" s="3"/>
      <c r="C331" s="4"/>
      <c r="D331" s="4"/>
      <c r="E331" s="4"/>
      <c r="F331" s="4"/>
      <c r="G331" s="4"/>
      <c r="H331" s="4"/>
      <c r="I331" s="4">
        <f>IF(ISNUMBER(J331), J331, IFERROR(INDEX(FICHAS!$A:$AAA, MATCH(A331, FICHAS!$A:$A, 0), MATCH("✏️ UF DISTRIBUIR (Escriba Aquí)", FICHAS!$3:$3, 0)) / COUNTIF(A:A, A331), 0))</f>
        <v>0</v>
      </c>
      <c r="J331" s="3"/>
      <c r="K331" s="4">
        <f t="shared" si="5"/>
        <v>0</v>
      </c>
    </row>
    <row r="332" spans="1:11" ht="19.95" customHeight="1" x14ac:dyDescent="0.3">
      <c r="A332" s="3"/>
      <c r="B332" s="3"/>
      <c r="C332" s="4"/>
      <c r="D332" s="4"/>
      <c r="E332" s="4"/>
      <c r="F332" s="4"/>
      <c r="G332" s="4"/>
      <c r="H332" s="4"/>
      <c r="I332" s="4">
        <f>IF(ISNUMBER(J332), J332, IFERROR(INDEX(FICHAS!$A:$AAA, MATCH(A332, FICHAS!$A:$A, 0), MATCH("✏️ UF DISTRIBUIR (Escriba Aquí)", FICHAS!$3:$3, 0)) / COUNTIF(A:A, A332), 0))</f>
        <v>0</v>
      </c>
      <c r="J332" s="3"/>
      <c r="K332" s="4">
        <f t="shared" si="5"/>
        <v>0</v>
      </c>
    </row>
    <row r="333" spans="1:11" ht="19.95" customHeight="1" x14ac:dyDescent="0.3">
      <c r="A333" s="3"/>
      <c r="B333" s="3"/>
      <c r="C333" s="4"/>
      <c r="D333" s="4"/>
      <c r="E333" s="4"/>
      <c r="F333" s="4"/>
      <c r="G333" s="4"/>
      <c r="H333" s="4"/>
      <c r="I333" s="4">
        <f>IF(ISNUMBER(J333), J333, IFERROR(INDEX(FICHAS!$A:$AAA, MATCH(A333, FICHAS!$A:$A, 0), MATCH("✏️ UF DISTRIBUIR (Escriba Aquí)", FICHAS!$3:$3, 0)) / COUNTIF(A:A, A333), 0))</f>
        <v>0</v>
      </c>
      <c r="J333" s="3"/>
      <c r="K333" s="4">
        <f t="shared" si="5"/>
        <v>0</v>
      </c>
    </row>
    <row r="334" spans="1:11" ht="19.95" customHeight="1" x14ac:dyDescent="0.3">
      <c r="A334" s="3"/>
      <c r="B334" s="3"/>
      <c r="C334" s="4"/>
      <c r="D334" s="4"/>
      <c r="E334" s="4"/>
      <c r="F334" s="4"/>
      <c r="G334" s="4"/>
      <c r="H334" s="4"/>
      <c r="I334" s="4">
        <f>IF(ISNUMBER(J334), J334, IFERROR(INDEX(FICHAS!$A:$AAA, MATCH(A334, FICHAS!$A:$A, 0), MATCH("✏️ UF DISTRIBUIR (Escriba Aquí)", FICHAS!$3:$3, 0)) / COUNTIF(A:A, A334), 0))</f>
        <v>0</v>
      </c>
      <c r="J334" s="3"/>
      <c r="K334" s="4">
        <f t="shared" si="5"/>
        <v>0</v>
      </c>
    </row>
    <row r="335" spans="1:11" ht="19.95" customHeight="1" x14ac:dyDescent="0.3">
      <c r="A335" s="3"/>
      <c r="B335" s="3"/>
      <c r="C335" s="4"/>
      <c r="D335" s="4"/>
      <c r="E335" s="4"/>
      <c r="F335" s="4"/>
      <c r="G335" s="4"/>
      <c r="H335" s="4"/>
      <c r="I335" s="4">
        <f>IF(ISNUMBER(J335), J335, IFERROR(INDEX(FICHAS!$A:$AAA, MATCH(A335, FICHAS!$A:$A, 0), MATCH("✏️ UF DISTRIBUIR (Escriba Aquí)", FICHAS!$3:$3, 0)) / COUNTIF(A:A, A335), 0))</f>
        <v>0</v>
      </c>
      <c r="J335" s="3"/>
      <c r="K335" s="4">
        <f t="shared" si="5"/>
        <v>0</v>
      </c>
    </row>
    <row r="336" spans="1:11" ht="19.95" customHeight="1" x14ac:dyDescent="0.3">
      <c r="A336" s="3"/>
      <c r="B336" s="3"/>
      <c r="C336" s="4"/>
      <c r="D336" s="4"/>
      <c r="E336" s="4"/>
      <c r="F336" s="4"/>
      <c r="G336" s="4"/>
      <c r="H336" s="4"/>
      <c r="I336" s="4">
        <f>IF(ISNUMBER(J336), J336, IFERROR(INDEX(FICHAS!$A:$AAA, MATCH(A336, FICHAS!$A:$A, 0), MATCH("✏️ UF DISTRIBUIR (Escriba Aquí)", FICHAS!$3:$3, 0)) / COUNTIF(A:A, A336), 0))</f>
        <v>0</v>
      </c>
      <c r="J336" s="3"/>
      <c r="K336" s="4">
        <f t="shared" si="5"/>
        <v>0</v>
      </c>
    </row>
    <row r="337" spans="1:11" ht="19.95" customHeight="1" x14ac:dyDescent="0.3">
      <c r="A337" s="3"/>
      <c r="B337" s="3"/>
      <c r="C337" s="4"/>
      <c r="D337" s="4"/>
      <c r="E337" s="4"/>
      <c r="F337" s="4"/>
      <c r="G337" s="4"/>
      <c r="H337" s="4"/>
      <c r="I337" s="4">
        <f>IF(ISNUMBER(J337), J337, IFERROR(INDEX(FICHAS!$A:$AAA, MATCH(A337, FICHAS!$A:$A, 0), MATCH("✏️ UF DISTRIBUIR (Escriba Aquí)", FICHAS!$3:$3, 0)) / COUNTIF(A:A, A337), 0))</f>
        <v>0</v>
      </c>
      <c r="J337" s="3"/>
      <c r="K337" s="4">
        <f t="shared" si="5"/>
        <v>0</v>
      </c>
    </row>
    <row r="338" spans="1:11" ht="19.95" customHeight="1" x14ac:dyDescent="0.3">
      <c r="A338" s="3"/>
      <c r="B338" s="3"/>
      <c r="C338" s="4"/>
      <c r="D338" s="4"/>
      <c r="E338" s="4"/>
      <c r="F338" s="4"/>
      <c r="G338" s="4"/>
      <c r="H338" s="4"/>
      <c r="I338" s="4">
        <f>IF(ISNUMBER(J338), J338, IFERROR(INDEX(FICHAS!$A:$AAA, MATCH(A338, FICHAS!$A:$A, 0), MATCH("✏️ UF DISTRIBUIR (Escriba Aquí)", FICHAS!$3:$3, 0)) / COUNTIF(A:A, A338), 0))</f>
        <v>0</v>
      </c>
      <c r="J338" s="3"/>
      <c r="K338" s="4">
        <f t="shared" si="5"/>
        <v>0</v>
      </c>
    </row>
    <row r="339" spans="1:11" ht="19.95" customHeight="1" x14ac:dyDescent="0.3">
      <c r="A339" s="3"/>
      <c r="B339" s="3"/>
      <c r="C339" s="4"/>
      <c r="D339" s="4"/>
      <c r="E339" s="4"/>
      <c r="F339" s="4"/>
      <c r="G339" s="4"/>
      <c r="H339" s="4"/>
      <c r="I339" s="4">
        <f>IF(ISNUMBER(J339), J339, IFERROR(INDEX(FICHAS!$A:$AAA, MATCH(A339, FICHAS!$A:$A, 0), MATCH("✏️ UF DISTRIBUIR (Escriba Aquí)", FICHAS!$3:$3, 0)) / COUNTIF(A:A, A339), 0))</f>
        <v>0</v>
      </c>
      <c r="J339" s="3"/>
      <c r="K339" s="4">
        <f t="shared" si="5"/>
        <v>0</v>
      </c>
    </row>
    <row r="340" spans="1:11" ht="19.95" customHeight="1" x14ac:dyDescent="0.3">
      <c r="A340" s="3"/>
      <c r="B340" s="3"/>
      <c r="C340" s="4"/>
      <c r="D340" s="4"/>
      <c r="E340" s="4"/>
      <c r="F340" s="4"/>
      <c r="G340" s="4"/>
      <c r="H340" s="4"/>
      <c r="I340" s="4">
        <f>IF(ISNUMBER(J340), J340, IFERROR(INDEX(FICHAS!$A:$AAA, MATCH(A340, FICHAS!$A:$A, 0), MATCH("✏️ UF DISTRIBUIR (Escriba Aquí)", FICHAS!$3:$3, 0)) / COUNTIF(A:A, A340), 0))</f>
        <v>0</v>
      </c>
      <c r="J340" s="3"/>
      <c r="K340" s="4">
        <f t="shared" si="5"/>
        <v>0</v>
      </c>
    </row>
    <row r="341" spans="1:11" ht="19.95" customHeight="1" x14ac:dyDescent="0.3">
      <c r="A341" s="3"/>
      <c r="B341" s="3"/>
      <c r="C341" s="4"/>
      <c r="D341" s="4"/>
      <c r="E341" s="4"/>
      <c r="F341" s="4"/>
      <c r="G341" s="4"/>
      <c r="H341" s="4"/>
      <c r="I341" s="4">
        <f>IF(ISNUMBER(J341), J341, IFERROR(INDEX(FICHAS!$A:$AAA, MATCH(A341, FICHAS!$A:$A, 0), MATCH("✏️ UF DISTRIBUIR (Escriba Aquí)", FICHAS!$3:$3, 0)) / COUNTIF(A:A, A341), 0))</f>
        <v>0</v>
      </c>
      <c r="J341" s="3"/>
      <c r="K341" s="4">
        <f t="shared" si="5"/>
        <v>0</v>
      </c>
    </row>
    <row r="342" spans="1:11" ht="19.95" customHeight="1" x14ac:dyDescent="0.3">
      <c r="A342" s="3"/>
      <c r="B342" s="3"/>
      <c r="C342" s="4"/>
      <c r="D342" s="4"/>
      <c r="E342" s="4"/>
      <c r="F342" s="4"/>
      <c r="G342" s="4"/>
      <c r="H342" s="4"/>
      <c r="I342" s="4">
        <f>IF(ISNUMBER(J342), J342, IFERROR(INDEX(FICHAS!$A:$AAA, MATCH(A342, FICHAS!$A:$A, 0), MATCH("✏️ UF DISTRIBUIR (Escriba Aquí)", FICHAS!$3:$3, 0)) / COUNTIF(A:A, A342), 0))</f>
        <v>0</v>
      </c>
      <c r="J342" s="3"/>
      <c r="K342" s="4">
        <f t="shared" si="5"/>
        <v>0</v>
      </c>
    </row>
    <row r="343" spans="1:11" ht="19.95" customHeight="1" x14ac:dyDescent="0.3">
      <c r="A343" s="3"/>
      <c r="B343" s="3"/>
      <c r="C343" s="4"/>
      <c r="D343" s="4"/>
      <c r="E343" s="4"/>
      <c r="F343" s="4"/>
      <c r="G343" s="4"/>
      <c r="H343" s="4"/>
      <c r="I343" s="4">
        <f>IF(ISNUMBER(J343), J343, IFERROR(INDEX(FICHAS!$A:$AAA, MATCH(A343, FICHAS!$A:$A, 0), MATCH("✏️ UF DISTRIBUIR (Escriba Aquí)", FICHAS!$3:$3, 0)) / COUNTIF(A:A, A343), 0))</f>
        <v>0</v>
      </c>
      <c r="J343" s="3"/>
      <c r="K343" s="4">
        <f t="shared" si="5"/>
        <v>0</v>
      </c>
    </row>
    <row r="344" spans="1:11" ht="19.95" customHeight="1" x14ac:dyDescent="0.3">
      <c r="A344" s="3"/>
      <c r="B344" s="3"/>
      <c r="C344" s="4"/>
      <c r="D344" s="4"/>
      <c r="E344" s="4"/>
      <c r="F344" s="4"/>
      <c r="G344" s="4"/>
      <c r="H344" s="4"/>
      <c r="I344" s="4">
        <f>IF(ISNUMBER(J344), J344, IFERROR(INDEX(FICHAS!$A:$AAA, MATCH(A344, FICHAS!$A:$A, 0), MATCH("✏️ UF DISTRIBUIR (Escriba Aquí)", FICHAS!$3:$3, 0)) / COUNTIF(A:A, A344), 0))</f>
        <v>0</v>
      </c>
      <c r="J344" s="3"/>
      <c r="K344" s="4">
        <f t="shared" si="5"/>
        <v>0</v>
      </c>
    </row>
    <row r="345" spans="1:11" ht="19.95" customHeight="1" x14ac:dyDescent="0.3">
      <c r="A345" s="3"/>
      <c r="B345" s="3"/>
      <c r="C345" s="4"/>
      <c r="D345" s="4"/>
      <c r="E345" s="4"/>
      <c r="F345" s="4"/>
      <c r="G345" s="4"/>
      <c r="H345" s="4"/>
      <c r="I345" s="4">
        <f>IF(ISNUMBER(J345), J345, IFERROR(INDEX(FICHAS!$A:$AAA, MATCH(A345, FICHAS!$A:$A, 0), MATCH("✏️ UF DISTRIBUIR (Escriba Aquí)", FICHAS!$3:$3, 0)) / COUNTIF(A:A, A345), 0))</f>
        <v>0</v>
      </c>
      <c r="J345" s="3"/>
      <c r="K345" s="4">
        <f t="shared" si="5"/>
        <v>0</v>
      </c>
    </row>
    <row r="346" spans="1:11" ht="19.95" customHeight="1" x14ac:dyDescent="0.3">
      <c r="A346" s="3"/>
      <c r="B346" s="3"/>
      <c r="C346" s="4"/>
      <c r="D346" s="4"/>
      <c r="E346" s="4"/>
      <c r="F346" s="4"/>
      <c r="G346" s="4"/>
      <c r="H346" s="4"/>
      <c r="I346" s="4">
        <f>IF(ISNUMBER(J346), J346, IFERROR(INDEX(FICHAS!$A:$AAA, MATCH(A346, FICHAS!$A:$A, 0), MATCH("✏️ UF DISTRIBUIR (Escriba Aquí)", FICHAS!$3:$3, 0)) / COUNTIF(A:A, A346), 0))</f>
        <v>0</v>
      </c>
      <c r="J346" s="3"/>
      <c r="K346" s="4">
        <f t="shared" si="5"/>
        <v>0</v>
      </c>
    </row>
    <row r="347" spans="1:11" ht="19.95" customHeight="1" x14ac:dyDescent="0.3">
      <c r="A347" s="3"/>
      <c r="B347" s="3"/>
      <c r="C347" s="4"/>
      <c r="D347" s="4"/>
      <c r="E347" s="4"/>
      <c r="F347" s="4"/>
      <c r="G347" s="4"/>
      <c r="H347" s="4"/>
      <c r="I347" s="4">
        <f>IF(ISNUMBER(J347), J347, IFERROR(INDEX(FICHAS!$A:$AAA, MATCH(A347, FICHAS!$A:$A, 0), MATCH("✏️ UF DISTRIBUIR (Escriba Aquí)", FICHAS!$3:$3, 0)) / COUNTIF(A:A, A347), 0))</f>
        <v>0</v>
      </c>
      <c r="J347" s="3"/>
      <c r="K347" s="4">
        <f t="shared" si="5"/>
        <v>0</v>
      </c>
    </row>
    <row r="348" spans="1:11" ht="19.95" customHeight="1" x14ac:dyDescent="0.3">
      <c r="A348" s="3"/>
      <c r="B348" s="3"/>
      <c r="C348" s="4"/>
      <c r="D348" s="4"/>
      <c r="E348" s="4"/>
      <c r="F348" s="4"/>
      <c r="G348" s="4"/>
      <c r="H348" s="4"/>
      <c r="I348" s="4">
        <f>IF(ISNUMBER(J348), J348, IFERROR(INDEX(FICHAS!$A:$AAA, MATCH(A348, FICHAS!$A:$A, 0), MATCH("✏️ UF DISTRIBUIR (Escriba Aquí)", FICHAS!$3:$3, 0)) / COUNTIF(A:A, A348), 0))</f>
        <v>0</v>
      </c>
      <c r="J348" s="3"/>
      <c r="K348" s="4">
        <f t="shared" si="5"/>
        <v>0</v>
      </c>
    </row>
    <row r="349" spans="1:11" ht="19.95" customHeight="1" x14ac:dyDescent="0.3">
      <c r="A349" s="3"/>
      <c r="B349" s="3"/>
      <c r="C349" s="4"/>
      <c r="D349" s="4"/>
      <c r="E349" s="4"/>
      <c r="F349" s="4"/>
      <c r="G349" s="4"/>
      <c r="H349" s="4"/>
      <c r="I349" s="4">
        <f>IF(ISNUMBER(J349), J349, IFERROR(INDEX(FICHAS!$A:$AAA, MATCH(A349, FICHAS!$A:$A, 0), MATCH("✏️ UF DISTRIBUIR (Escriba Aquí)", FICHAS!$3:$3, 0)) / COUNTIF(A:A, A349), 0))</f>
        <v>0</v>
      </c>
      <c r="J349" s="3"/>
      <c r="K349" s="4">
        <f t="shared" si="5"/>
        <v>0</v>
      </c>
    </row>
    <row r="350" spans="1:11" ht="19.95" customHeight="1" x14ac:dyDescent="0.3">
      <c r="A350" s="3"/>
      <c r="B350" s="3"/>
      <c r="C350" s="4"/>
      <c r="D350" s="4"/>
      <c r="E350" s="4"/>
      <c r="F350" s="4"/>
      <c r="G350" s="4"/>
      <c r="H350" s="4"/>
      <c r="I350" s="4">
        <f>IF(ISNUMBER(J350), J350, IFERROR(INDEX(FICHAS!$A:$AAA, MATCH(A350, FICHAS!$A:$A, 0), MATCH("✏️ UF DISTRIBUIR (Escriba Aquí)", FICHAS!$3:$3, 0)) / COUNTIF(A:A, A350), 0))</f>
        <v>0</v>
      </c>
      <c r="J350" s="3"/>
      <c r="K350" s="4">
        <f t="shared" si="5"/>
        <v>0</v>
      </c>
    </row>
    <row r="351" spans="1:11" ht="19.95" customHeight="1" x14ac:dyDescent="0.3">
      <c r="A351" s="3"/>
      <c r="B351" s="3"/>
      <c r="C351" s="4"/>
      <c r="D351" s="4"/>
      <c r="E351" s="4"/>
      <c r="F351" s="4"/>
      <c r="G351" s="4"/>
      <c r="H351" s="4"/>
      <c r="I351" s="4">
        <f>IF(ISNUMBER(J351), J351, IFERROR(INDEX(FICHAS!$A:$AAA, MATCH(A351, FICHAS!$A:$A, 0), MATCH("✏️ UF DISTRIBUIR (Escriba Aquí)", FICHAS!$3:$3, 0)) / COUNTIF(A:A, A351), 0))</f>
        <v>0</v>
      </c>
      <c r="J351" s="3"/>
      <c r="K351" s="4">
        <f t="shared" si="5"/>
        <v>0</v>
      </c>
    </row>
    <row r="352" spans="1:11" ht="19.95" customHeight="1" x14ac:dyDescent="0.3">
      <c r="A352" s="3"/>
      <c r="B352" s="3"/>
      <c r="C352" s="4"/>
      <c r="D352" s="4"/>
      <c r="E352" s="4"/>
      <c r="F352" s="4"/>
      <c r="G352" s="4"/>
      <c r="H352" s="4"/>
      <c r="I352" s="4">
        <f>IF(ISNUMBER(J352), J352, IFERROR(INDEX(FICHAS!$A:$AAA, MATCH(A352, FICHAS!$A:$A, 0), MATCH("✏️ UF DISTRIBUIR (Escriba Aquí)", FICHAS!$3:$3, 0)) / COUNTIF(A:A, A352), 0))</f>
        <v>0</v>
      </c>
      <c r="J352" s="3"/>
      <c r="K352" s="4">
        <f t="shared" si="5"/>
        <v>0</v>
      </c>
    </row>
    <row r="353" spans="1:11" ht="19.95" customHeight="1" x14ac:dyDescent="0.3">
      <c r="A353" s="3"/>
      <c r="B353" s="3"/>
      <c r="C353" s="4"/>
      <c r="D353" s="4"/>
      <c r="E353" s="4"/>
      <c r="F353" s="4"/>
      <c r="G353" s="4"/>
      <c r="H353" s="4"/>
      <c r="I353" s="4">
        <f>IF(ISNUMBER(J353), J353, IFERROR(INDEX(FICHAS!$A:$AAA, MATCH(A353, FICHAS!$A:$A, 0), MATCH("✏️ UF DISTRIBUIR (Escriba Aquí)", FICHAS!$3:$3, 0)) / COUNTIF(A:A, A353), 0))</f>
        <v>0</v>
      </c>
      <c r="J353" s="3"/>
      <c r="K353" s="4">
        <f t="shared" si="5"/>
        <v>0</v>
      </c>
    </row>
    <row r="354" spans="1:11" ht="19.95" customHeight="1" x14ac:dyDescent="0.3">
      <c r="A354" s="3"/>
      <c r="B354" s="3"/>
      <c r="C354" s="4"/>
      <c r="D354" s="4"/>
      <c r="E354" s="4"/>
      <c r="F354" s="4"/>
      <c r="G354" s="4"/>
      <c r="H354" s="4"/>
      <c r="I354" s="4">
        <f>IF(ISNUMBER(J354), J354, IFERROR(INDEX(FICHAS!$A:$AAA, MATCH(A354, FICHAS!$A:$A, 0), MATCH("✏️ UF DISTRIBUIR (Escriba Aquí)", FICHAS!$3:$3, 0)) / COUNTIF(A:A, A354), 0))</f>
        <v>0</v>
      </c>
      <c r="J354" s="3"/>
      <c r="K354" s="4">
        <f t="shared" si="5"/>
        <v>0</v>
      </c>
    </row>
    <row r="355" spans="1:11" ht="19.95" customHeight="1" x14ac:dyDescent="0.3">
      <c r="A355" s="3"/>
      <c r="B355" s="3"/>
      <c r="C355" s="4"/>
      <c r="D355" s="4"/>
      <c r="E355" s="4"/>
      <c r="F355" s="4"/>
      <c r="G355" s="4"/>
      <c r="H355" s="4"/>
      <c r="I355" s="4">
        <f>IF(ISNUMBER(J355), J355, IFERROR(INDEX(FICHAS!$A:$AAA, MATCH(A355, FICHAS!$A:$A, 0), MATCH("✏️ UF DISTRIBUIR (Escriba Aquí)", FICHAS!$3:$3, 0)) / COUNTIF(A:A, A355), 0))</f>
        <v>0</v>
      </c>
      <c r="J355" s="3"/>
      <c r="K355" s="4">
        <f t="shared" si="5"/>
        <v>0</v>
      </c>
    </row>
    <row r="356" spans="1:11" ht="19.95" customHeight="1" x14ac:dyDescent="0.3">
      <c r="A356" s="3"/>
      <c r="B356" s="3"/>
      <c r="C356" s="4"/>
      <c r="D356" s="4"/>
      <c r="E356" s="4"/>
      <c r="F356" s="4"/>
      <c r="G356" s="4"/>
      <c r="H356" s="4"/>
      <c r="I356" s="4">
        <f>IF(ISNUMBER(J356), J356, IFERROR(INDEX(FICHAS!$A:$AAA, MATCH(A356, FICHAS!$A:$A, 0), MATCH("✏️ UF DISTRIBUIR (Escriba Aquí)", FICHAS!$3:$3, 0)) / COUNTIF(A:A, A356), 0))</f>
        <v>0</v>
      </c>
      <c r="J356" s="3"/>
      <c r="K356" s="4">
        <f t="shared" si="5"/>
        <v>0</v>
      </c>
    </row>
    <row r="357" spans="1:11" ht="19.95" customHeight="1" x14ac:dyDescent="0.3">
      <c r="A357" s="3"/>
      <c r="B357" s="3"/>
      <c r="C357" s="4"/>
      <c r="D357" s="4"/>
      <c r="E357" s="4"/>
      <c r="F357" s="4"/>
      <c r="G357" s="4"/>
      <c r="H357" s="4"/>
      <c r="I357" s="4">
        <f>IF(ISNUMBER(J357), J357, IFERROR(INDEX(FICHAS!$A:$AAA, MATCH(A357, FICHAS!$A:$A, 0), MATCH("✏️ UF DISTRIBUIR (Escriba Aquí)", FICHAS!$3:$3, 0)) / COUNTIF(A:A, A357), 0))</f>
        <v>0</v>
      </c>
      <c r="J357" s="3"/>
      <c r="K357" s="4">
        <f t="shared" si="5"/>
        <v>0</v>
      </c>
    </row>
    <row r="358" spans="1:11" ht="19.95" customHeight="1" x14ac:dyDescent="0.3">
      <c r="A358" s="3"/>
      <c r="B358" s="3"/>
      <c r="C358" s="4"/>
      <c r="D358" s="4"/>
      <c r="E358" s="4"/>
      <c r="F358" s="4"/>
      <c r="G358" s="4"/>
      <c r="H358" s="4"/>
      <c r="I358" s="4">
        <f>IF(ISNUMBER(J358), J358, IFERROR(INDEX(FICHAS!$A:$AAA, MATCH(A358, FICHAS!$A:$A, 0), MATCH("✏️ UF DISTRIBUIR (Escriba Aquí)", FICHAS!$3:$3, 0)) / COUNTIF(A:A, A358), 0))</f>
        <v>0</v>
      </c>
      <c r="J358" s="3"/>
      <c r="K358" s="4">
        <f t="shared" si="5"/>
        <v>0</v>
      </c>
    </row>
    <row r="359" spans="1:11" ht="19.95" customHeight="1" x14ac:dyDescent="0.3">
      <c r="A359" s="3"/>
      <c r="B359" s="3"/>
      <c r="C359" s="4"/>
      <c r="D359" s="4"/>
      <c r="E359" s="4"/>
      <c r="F359" s="4"/>
      <c r="G359" s="4"/>
      <c r="H359" s="4"/>
      <c r="I359" s="4">
        <f>IF(ISNUMBER(J359), J359, IFERROR(INDEX(FICHAS!$A:$AAA, MATCH(A359, FICHAS!$A:$A, 0), MATCH("✏️ UF DISTRIBUIR (Escriba Aquí)", FICHAS!$3:$3, 0)) / COUNTIF(A:A, A359), 0))</f>
        <v>0</v>
      </c>
      <c r="J359" s="3"/>
      <c r="K359" s="4">
        <f t="shared" si="5"/>
        <v>0</v>
      </c>
    </row>
    <row r="360" spans="1:11" ht="19.95" customHeight="1" x14ac:dyDescent="0.3">
      <c r="A360" s="3"/>
      <c r="B360" s="3"/>
      <c r="C360" s="4"/>
      <c r="D360" s="4"/>
      <c r="E360" s="4"/>
      <c r="F360" s="4"/>
      <c r="G360" s="4"/>
      <c r="H360" s="4"/>
      <c r="I360" s="4">
        <f>IF(ISNUMBER(J360), J360, IFERROR(INDEX(FICHAS!$A:$AAA, MATCH(A360, FICHAS!$A:$A, 0), MATCH("✏️ UF DISTRIBUIR (Escriba Aquí)", FICHAS!$3:$3, 0)) / COUNTIF(A:A, A360), 0))</f>
        <v>0</v>
      </c>
      <c r="J360" s="3"/>
      <c r="K360" s="4">
        <f t="shared" si="5"/>
        <v>0</v>
      </c>
    </row>
    <row r="361" spans="1:11" ht="19.95" customHeight="1" x14ac:dyDescent="0.3">
      <c r="A361" s="3"/>
      <c r="B361" s="3"/>
      <c r="C361" s="4"/>
      <c r="D361" s="4"/>
      <c r="E361" s="4"/>
      <c r="F361" s="4"/>
      <c r="G361" s="4"/>
      <c r="H361" s="4"/>
      <c r="I361" s="4">
        <f>IF(ISNUMBER(J361), J361, IFERROR(INDEX(FICHAS!$A:$AAA, MATCH(A361, FICHAS!$A:$A, 0), MATCH("✏️ UF DISTRIBUIR (Escriba Aquí)", FICHAS!$3:$3, 0)) / COUNTIF(A:A, A361), 0))</f>
        <v>0</v>
      </c>
      <c r="J361" s="3"/>
      <c r="K361" s="4">
        <f t="shared" si="5"/>
        <v>0</v>
      </c>
    </row>
    <row r="362" spans="1:11" ht="19.95" customHeight="1" x14ac:dyDescent="0.3">
      <c r="A362" s="3"/>
      <c r="B362" s="3"/>
      <c r="C362" s="4"/>
      <c r="D362" s="4"/>
      <c r="E362" s="4"/>
      <c r="F362" s="4"/>
      <c r="G362" s="4"/>
      <c r="H362" s="4"/>
      <c r="I362" s="4">
        <f>IF(ISNUMBER(J362), J362, IFERROR(INDEX(FICHAS!$A:$AAA, MATCH(A362, FICHAS!$A:$A, 0), MATCH("✏️ UF DISTRIBUIR (Escriba Aquí)", FICHAS!$3:$3, 0)) / COUNTIF(A:A, A362), 0))</f>
        <v>0</v>
      </c>
      <c r="J362" s="3"/>
      <c r="K362" s="4">
        <f t="shared" si="5"/>
        <v>0</v>
      </c>
    </row>
    <row r="363" spans="1:11" ht="19.95" customHeight="1" x14ac:dyDescent="0.3">
      <c r="A363" s="3"/>
      <c r="B363" s="3"/>
      <c r="C363" s="4"/>
      <c r="D363" s="4"/>
      <c r="E363" s="4"/>
      <c r="F363" s="4"/>
      <c r="G363" s="4"/>
      <c r="H363" s="4"/>
      <c r="I363" s="4">
        <f>IF(ISNUMBER(J363), J363, IFERROR(INDEX(FICHAS!$A:$AAA, MATCH(A363, FICHAS!$A:$A, 0), MATCH("✏️ UF DISTRIBUIR (Escriba Aquí)", FICHAS!$3:$3, 0)) / COUNTIF(A:A, A363), 0))</f>
        <v>0</v>
      </c>
      <c r="J363" s="3"/>
      <c r="K363" s="4">
        <f t="shared" si="5"/>
        <v>0</v>
      </c>
    </row>
    <row r="364" spans="1:11" ht="19.95" customHeight="1" x14ac:dyDescent="0.3">
      <c r="A364" s="3"/>
      <c r="B364" s="3"/>
      <c r="C364" s="4"/>
      <c r="D364" s="4"/>
      <c r="E364" s="4"/>
      <c r="F364" s="4"/>
      <c r="G364" s="4"/>
      <c r="H364" s="4"/>
      <c r="I364" s="4">
        <f>IF(ISNUMBER(J364), J364, IFERROR(INDEX(FICHAS!$A:$AAA, MATCH(A364, FICHAS!$A:$A, 0), MATCH("✏️ UF DISTRIBUIR (Escriba Aquí)", FICHAS!$3:$3, 0)) / COUNTIF(A:A, A364), 0))</f>
        <v>0</v>
      </c>
      <c r="J364" s="3"/>
      <c r="K364" s="4">
        <f t="shared" si="5"/>
        <v>0</v>
      </c>
    </row>
    <row r="365" spans="1:11" ht="19.95" customHeight="1" x14ac:dyDescent="0.3">
      <c r="A365" s="3"/>
      <c r="B365" s="3"/>
      <c r="C365" s="4"/>
      <c r="D365" s="4"/>
      <c r="E365" s="4"/>
      <c r="F365" s="4"/>
      <c r="G365" s="4"/>
      <c r="H365" s="4"/>
      <c r="I365" s="4">
        <f>IF(ISNUMBER(J365), J365, IFERROR(INDEX(FICHAS!$A:$AAA, MATCH(A365, FICHAS!$A:$A, 0), MATCH("✏️ UF DISTRIBUIR (Escriba Aquí)", FICHAS!$3:$3, 0)) / COUNTIF(A:A, A365), 0))</f>
        <v>0</v>
      </c>
      <c r="J365" s="3"/>
      <c r="K365" s="4">
        <f t="shared" si="5"/>
        <v>0</v>
      </c>
    </row>
    <row r="366" spans="1:11" ht="19.95" customHeight="1" x14ac:dyDescent="0.3">
      <c r="A366" s="3"/>
      <c r="B366" s="3"/>
      <c r="C366" s="4"/>
      <c r="D366" s="4"/>
      <c r="E366" s="4"/>
      <c r="F366" s="4"/>
      <c r="G366" s="4"/>
      <c r="H366" s="4"/>
      <c r="I366" s="4">
        <f>IF(ISNUMBER(J366), J366, IFERROR(INDEX(FICHAS!$A:$AAA, MATCH(A366, FICHAS!$A:$A, 0), MATCH("✏️ UF DISTRIBUIR (Escriba Aquí)", FICHAS!$3:$3, 0)) / COUNTIF(A:A, A366), 0))</f>
        <v>0</v>
      </c>
      <c r="J366" s="3"/>
      <c r="K366" s="4">
        <f t="shared" si="5"/>
        <v>0</v>
      </c>
    </row>
    <row r="367" spans="1:11" ht="19.95" customHeight="1" x14ac:dyDescent="0.3">
      <c r="A367" s="3"/>
      <c r="B367" s="3"/>
      <c r="C367" s="4"/>
      <c r="D367" s="4"/>
      <c r="E367" s="4"/>
      <c r="F367" s="4"/>
      <c r="G367" s="4"/>
      <c r="H367" s="4"/>
      <c r="I367" s="4">
        <f>IF(ISNUMBER(J367), J367, IFERROR(INDEX(FICHAS!$A:$AAA, MATCH(A367, FICHAS!$A:$A, 0), MATCH("✏️ UF DISTRIBUIR (Escriba Aquí)", FICHAS!$3:$3, 0)) / COUNTIF(A:A, A367), 0))</f>
        <v>0</v>
      </c>
      <c r="J367" s="3"/>
      <c r="K367" s="4">
        <f t="shared" si="5"/>
        <v>0</v>
      </c>
    </row>
    <row r="368" spans="1:11" ht="19.95" customHeight="1" x14ac:dyDescent="0.3">
      <c r="A368" s="3"/>
      <c r="B368" s="3"/>
      <c r="C368" s="4"/>
      <c r="D368" s="4"/>
      <c r="E368" s="4"/>
      <c r="F368" s="4"/>
      <c r="G368" s="4"/>
      <c r="H368" s="4"/>
      <c r="I368" s="4">
        <f>IF(ISNUMBER(J368), J368, IFERROR(INDEX(FICHAS!$A:$AAA, MATCH(A368, FICHAS!$A:$A, 0), MATCH("✏️ UF DISTRIBUIR (Escriba Aquí)", FICHAS!$3:$3, 0)) / COUNTIF(A:A, A368), 0))</f>
        <v>0</v>
      </c>
      <c r="J368" s="3"/>
      <c r="K368" s="4">
        <f t="shared" si="5"/>
        <v>0</v>
      </c>
    </row>
    <row r="369" spans="1:11" ht="19.95" customHeight="1" x14ac:dyDescent="0.3">
      <c r="A369" s="3"/>
      <c r="B369" s="3"/>
      <c r="C369" s="4"/>
      <c r="D369" s="4"/>
      <c r="E369" s="4"/>
      <c r="F369" s="4"/>
      <c r="G369" s="4"/>
      <c r="H369" s="4"/>
      <c r="I369" s="4">
        <f>IF(ISNUMBER(J369), J369, IFERROR(INDEX(FICHAS!$A:$AAA, MATCH(A369, FICHAS!$A:$A, 0), MATCH("✏️ UF DISTRIBUIR (Escriba Aquí)", FICHAS!$3:$3, 0)) / COUNTIF(A:A, A369), 0))</f>
        <v>0</v>
      </c>
      <c r="J369" s="3"/>
      <c r="K369" s="4">
        <f t="shared" si="5"/>
        <v>0</v>
      </c>
    </row>
    <row r="370" spans="1:11" ht="19.95" customHeight="1" x14ac:dyDescent="0.3">
      <c r="A370" s="3"/>
      <c r="B370" s="3"/>
      <c r="C370" s="4"/>
      <c r="D370" s="4"/>
      <c r="E370" s="4"/>
      <c r="F370" s="4"/>
      <c r="G370" s="4"/>
      <c r="H370" s="4"/>
      <c r="I370" s="4">
        <f>IF(ISNUMBER(J370), J370, IFERROR(INDEX(FICHAS!$A:$AAA, MATCH(A370, FICHAS!$A:$A, 0), MATCH("✏️ UF DISTRIBUIR (Escriba Aquí)", FICHAS!$3:$3, 0)) / COUNTIF(A:A, A370), 0))</f>
        <v>0</v>
      </c>
      <c r="J370" s="3"/>
      <c r="K370" s="4">
        <f t="shared" si="5"/>
        <v>0</v>
      </c>
    </row>
    <row r="371" spans="1:11" ht="19.95" customHeight="1" x14ac:dyDescent="0.3">
      <c r="A371" s="3"/>
      <c r="B371" s="3"/>
      <c r="C371" s="4"/>
      <c r="D371" s="4"/>
      <c r="E371" s="4"/>
      <c r="F371" s="4"/>
      <c r="G371" s="4"/>
      <c r="H371" s="4"/>
      <c r="I371" s="4">
        <f>IF(ISNUMBER(J371), J371, IFERROR(INDEX(FICHAS!$A:$AAA, MATCH(A371, FICHAS!$A:$A, 0), MATCH("✏️ UF DISTRIBUIR (Escriba Aquí)", FICHAS!$3:$3, 0)) / COUNTIF(A:A, A371), 0))</f>
        <v>0</v>
      </c>
      <c r="J371" s="3"/>
      <c r="K371" s="4">
        <f t="shared" si="5"/>
        <v>0</v>
      </c>
    </row>
    <row r="372" spans="1:11" ht="19.95" customHeight="1" x14ac:dyDescent="0.3">
      <c r="A372" s="3"/>
      <c r="B372" s="3"/>
      <c r="C372" s="4"/>
      <c r="D372" s="4"/>
      <c r="E372" s="4"/>
      <c r="F372" s="4"/>
      <c r="G372" s="4"/>
      <c r="H372" s="4"/>
      <c r="I372" s="4">
        <f>IF(ISNUMBER(J372), J372, IFERROR(INDEX(FICHAS!$A:$AAA, MATCH(A372, FICHAS!$A:$A, 0), MATCH("✏️ UF DISTRIBUIR (Escriba Aquí)", FICHAS!$3:$3, 0)) / COUNTIF(A:A, A372), 0))</f>
        <v>0</v>
      </c>
      <c r="J372" s="3"/>
      <c r="K372" s="4">
        <f t="shared" si="5"/>
        <v>0</v>
      </c>
    </row>
    <row r="373" spans="1:11" ht="19.95" customHeight="1" x14ac:dyDescent="0.3">
      <c r="A373" s="3"/>
      <c r="B373" s="3"/>
      <c r="C373" s="4"/>
      <c r="D373" s="4"/>
      <c r="E373" s="4"/>
      <c r="F373" s="4"/>
      <c r="G373" s="4"/>
      <c r="H373" s="4"/>
      <c r="I373" s="4">
        <f>IF(ISNUMBER(J373), J373, IFERROR(INDEX(FICHAS!$A:$AAA, MATCH(A373, FICHAS!$A:$A, 0), MATCH("✏️ UF DISTRIBUIR (Escriba Aquí)", FICHAS!$3:$3, 0)) / COUNTIF(A:A, A373), 0))</f>
        <v>0</v>
      </c>
      <c r="J373" s="3"/>
      <c r="K373" s="4">
        <f t="shared" si="5"/>
        <v>0</v>
      </c>
    </row>
    <row r="374" spans="1:11" ht="19.95" customHeight="1" x14ac:dyDescent="0.3">
      <c r="A374" s="3"/>
      <c r="B374" s="3"/>
      <c r="C374" s="4"/>
      <c r="D374" s="4"/>
      <c r="E374" s="4"/>
      <c r="F374" s="4"/>
      <c r="G374" s="4"/>
      <c r="H374" s="4"/>
      <c r="I374" s="4">
        <f>IF(ISNUMBER(J374), J374, IFERROR(INDEX(FICHAS!$A:$AAA, MATCH(A374, FICHAS!$A:$A, 0), MATCH("✏️ UF DISTRIBUIR (Escriba Aquí)", FICHAS!$3:$3, 0)) / COUNTIF(A:A, A374), 0))</f>
        <v>0</v>
      </c>
      <c r="J374" s="3"/>
      <c r="K374" s="4">
        <f t="shared" si="5"/>
        <v>0</v>
      </c>
    </row>
    <row r="375" spans="1:11" ht="19.95" customHeight="1" x14ac:dyDescent="0.3">
      <c r="A375" s="3"/>
      <c r="B375" s="3"/>
      <c r="C375" s="4"/>
      <c r="D375" s="4"/>
      <c r="E375" s="4"/>
      <c r="F375" s="4"/>
      <c r="G375" s="4"/>
      <c r="H375" s="4"/>
      <c r="I375" s="4">
        <f>IF(ISNUMBER(J375), J375, IFERROR(INDEX(FICHAS!$A:$AAA, MATCH(A375, FICHAS!$A:$A, 0), MATCH("✏️ UF DISTRIBUIR (Escriba Aquí)", FICHAS!$3:$3, 0)) / COUNTIF(A:A, A375), 0))</f>
        <v>0</v>
      </c>
      <c r="J375" s="3"/>
      <c r="K375" s="4">
        <f t="shared" si="5"/>
        <v>0</v>
      </c>
    </row>
    <row r="376" spans="1:11" ht="19.95" customHeight="1" x14ac:dyDescent="0.3">
      <c r="A376" s="3"/>
      <c r="B376" s="3"/>
      <c r="C376" s="4"/>
      <c r="D376" s="4"/>
      <c r="E376" s="4"/>
      <c r="F376" s="4"/>
      <c r="G376" s="4"/>
      <c r="H376" s="4"/>
      <c r="I376" s="4">
        <f>IF(ISNUMBER(J376), J376, IFERROR(INDEX(FICHAS!$A:$AAA, MATCH(A376, FICHAS!$A:$A, 0), MATCH("✏️ UF DISTRIBUIR (Escriba Aquí)", FICHAS!$3:$3, 0)) / COUNTIF(A:A, A376), 0))</f>
        <v>0</v>
      </c>
      <c r="J376" s="3"/>
      <c r="K376" s="4">
        <f t="shared" si="5"/>
        <v>0</v>
      </c>
    </row>
    <row r="377" spans="1:11" ht="19.95" customHeight="1" x14ac:dyDescent="0.3">
      <c r="A377" s="3"/>
      <c r="B377" s="3"/>
      <c r="C377" s="4"/>
      <c r="D377" s="4"/>
      <c r="E377" s="4"/>
      <c r="F377" s="4"/>
      <c r="G377" s="4"/>
      <c r="H377" s="4"/>
      <c r="I377" s="4">
        <f>IF(ISNUMBER(J377), J377, IFERROR(INDEX(FICHAS!$A:$AAA, MATCH(A377, FICHAS!$A:$A, 0), MATCH("✏️ UF DISTRIBUIR (Escriba Aquí)", FICHAS!$3:$3, 0)) / COUNTIF(A:A, A377), 0))</f>
        <v>0</v>
      </c>
      <c r="J377" s="3"/>
      <c r="K377" s="4">
        <f t="shared" si="5"/>
        <v>0</v>
      </c>
    </row>
    <row r="378" spans="1:11" ht="19.95" customHeight="1" x14ac:dyDescent="0.3">
      <c r="A378" s="3"/>
      <c r="B378" s="3"/>
      <c r="C378" s="4"/>
      <c r="D378" s="4"/>
      <c r="E378" s="4"/>
      <c r="F378" s="4"/>
      <c r="G378" s="4"/>
      <c r="H378" s="4"/>
      <c r="I378" s="4">
        <f>IF(ISNUMBER(J378), J378, IFERROR(INDEX(FICHAS!$A:$AAA, MATCH(A378, FICHAS!$A:$A, 0), MATCH("✏️ UF DISTRIBUIR (Escriba Aquí)", FICHAS!$3:$3, 0)) / COUNTIF(A:A, A378), 0))</f>
        <v>0</v>
      </c>
      <c r="J378" s="3"/>
      <c r="K378" s="4">
        <f t="shared" si="5"/>
        <v>0</v>
      </c>
    </row>
    <row r="379" spans="1:11" ht="19.95" customHeight="1" x14ac:dyDescent="0.3">
      <c r="A379" s="3"/>
      <c r="B379" s="3"/>
      <c r="C379" s="4"/>
      <c r="D379" s="4"/>
      <c r="E379" s="4"/>
      <c r="F379" s="4"/>
      <c r="G379" s="4"/>
      <c r="H379" s="4"/>
      <c r="I379" s="4">
        <f>IF(ISNUMBER(J379), J379, IFERROR(INDEX(FICHAS!$A:$AAA, MATCH(A379, FICHAS!$A:$A, 0), MATCH("✏️ UF DISTRIBUIR (Escriba Aquí)", FICHAS!$3:$3, 0)) / COUNTIF(A:A, A379), 0))</f>
        <v>0</v>
      </c>
      <c r="J379" s="3"/>
      <c r="K379" s="4">
        <f t="shared" si="5"/>
        <v>0</v>
      </c>
    </row>
    <row r="380" spans="1:11" ht="19.95" customHeight="1" x14ac:dyDescent="0.3">
      <c r="A380" s="3"/>
      <c r="B380" s="3"/>
      <c r="C380" s="4"/>
      <c r="D380" s="4"/>
      <c r="E380" s="4"/>
      <c r="F380" s="4"/>
      <c r="G380" s="4"/>
      <c r="H380" s="4"/>
      <c r="I380" s="4">
        <f>IF(ISNUMBER(J380), J380, IFERROR(INDEX(FICHAS!$A:$AAA, MATCH(A380, FICHAS!$A:$A, 0), MATCH("✏️ UF DISTRIBUIR (Escriba Aquí)", FICHAS!$3:$3, 0)) / COUNTIF(A:A, A380), 0))</f>
        <v>0</v>
      </c>
      <c r="J380" s="3"/>
      <c r="K380" s="4">
        <f t="shared" si="5"/>
        <v>0</v>
      </c>
    </row>
    <row r="381" spans="1:11" ht="19.95" customHeight="1" x14ac:dyDescent="0.3">
      <c r="A381" s="3"/>
      <c r="B381" s="3"/>
      <c r="C381" s="4"/>
      <c r="D381" s="4"/>
      <c r="E381" s="4"/>
      <c r="F381" s="4"/>
      <c r="G381" s="4"/>
      <c r="H381" s="4"/>
      <c r="I381" s="4">
        <f>IF(ISNUMBER(J381), J381, IFERROR(INDEX(FICHAS!$A:$AAA, MATCH(A381, FICHAS!$A:$A, 0), MATCH("✏️ UF DISTRIBUIR (Escriba Aquí)", FICHAS!$3:$3, 0)) / COUNTIF(A:A, A381), 0))</f>
        <v>0</v>
      </c>
      <c r="J381" s="3"/>
      <c r="K381" s="4">
        <f t="shared" si="5"/>
        <v>0</v>
      </c>
    </row>
    <row r="382" spans="1:11" ht="19.95" customHeight="1" x14ac:dyDescent="0.3">
      <c r="A382" s="3"/>
      <c r="B382" s="3"/>
      <c r="C382" s="4"/>
      <c r="D382" s="4"/>
      <c r="E382" s="4"/>
      <c r="F382" s="4"/>
      <c r="G382" s="4"/>
      <c r="H382" s="4"/>
      <c r="I382" s="4">
        <f>IF(ISNUMBER(J382), J382, IFERROR(INDEX(FICHAS!$A:$AAA, MATCH(A382, FICHAS!$A:$A, 0), MATCH("✏️ UF DISTRIBUIR (Escriba Aquí)", FICHAS!$3:$3, 0)) / COUNTIF(A:A, A382), 0))</f>
        <v>0</v>
      </c>
      <c r="J382" s="3"/>
      <c r="K382" s="4">
        <f t="shared" si="5"/>
        <v>0</v>
      </c>
    </row>
    <row r="383" spans="1:11" ht="19.95" customHeight="1" x14ac:dyDescent="0.3">
      <c r="A383" s="3"/>
      <c r="B383" s="3"/>
      <c r="C383" s="4"/>
      <c r="D383" s="4"/>
      <c r="E383" s="4"/>
      <c r="F383" s="4"/>
      <c r="G383" s="4"/>
      <c r="H383" s="4"/>
      <c r="I383" s="4">
        <f>IF(ISNUMBER(J383), J383, IFERROR(INDEX(FICHAS!$A:$AAA, MATCH(A383, FICHAS!$A:$A, 0), MATCH("✏️ UF DISTRIBUIR (Escriba Aquí)", FICHAS!$3:$3, 0)) / COUNTIF(A:A, A383), 0))</f>
        <v>0</v>
      </c>
      <c r="J383" s="3"/>
      <c r="K383" s="4">
        <f t="shared" si="5"/>
        <v>0</v>
      </c>
    </row>
    <row r="384" spans="1:11" ht="19.95" customHeight="1" x14ac:dyDescent="0.3">
      <c r="A384" s="3"/>
      <c r="B384" s="3"/>
      <c r="C384" s="4"/>
      <c r="D384" s="4"/>
      <c r="E384" s="4"/>
      <c r="F384" s="4"/>
      <c r="G384" s="4"/>
      <c r="H384" s="4"/>
      <c r="I384" s="4">
        <f>IF(ISNUMBER(J384), J384, IFERROR(INDEX(FICHAS!$A:$AAA, MATCH(A384, FICHAS!$A:$A, 0), MATCH("✏️ UF DISTRIBUIR (Escriba Aquí)", FICHAS!$3:$3, 0)) / COUNTIF(A:A, A384), 0))</f>
        <v>0</v>
      </c>
      <c r="J384" s="3"/>
      <c r="K384" s="4">
        <f t="shared" si="5"/>
        <v>0</v>
      </c>
    </row>
    <row r="385" spans="1:11" ht="19.95" customHeight="1" x14ac:dyDescent="0.3">
      <c r="A385" s="3"/>
      <c r="B385" s="3"/>
      <c r="C385" s="4"/>
      <c r="D385" s="4"/>
      <c r="E385" s="4"/>
      <c r="F385" s="4"/>
      <c r="G385" s="4"/>
      <c r="H385" s="4"/>
      <c r="I385" s="4">
        <f>IF(ISNUMBER(J385), J385, IFERROR(INDEX(FICHAS!$A:$AAA, MATCH(A385, FICHAS!$A:$A, 0), MATCH("✏️ UF DISTRIBUIR (Escriba Aquí)", FICHAS!$3:$3, 0)) / COUNTIF(A:A, A385), 0))</f>
        <v>0</v>
      </c>
      <c r="J385" s="3"/>
      <c r="K385" s="4">
        <f t="shared" si="5"/>
        <v>0</v>
      </c>
    </row>
    <row r="386" spans="1:11" ht="19.95" customHeight="1" x14ac:dyDescent="0.3">
      <c r="A386" s="3"/>
      <c r="B386" s="3"/>
      <c r="C386" s="4"/>
      <c r="D386" s="4"/>
      <c r="E386" s="4"/>
      <c r="F386" s="4"/>
      <c r="G386" s="4"/>
      <c r="H386" s="4"/>
      <c r="I386" s="4">
        <f>IF(ISNUMBER(J386), J386, IFERROR(INDEX(FICHAS!$A:$AAA, MATCH(A386, FICHAS!$A:$A, 0), MATCH("✏️ UF DISTRIBUIR (Escriba Aquí)", FICHAS!$3:$3, 0)) / COUNTIF(A:A, A386), 0))</f>
        <v>0</v>
      </c>
      <c r="J386" s="3"/>
      <c r="K386" s="4">
        <f t="shared" si="5"/>
        <v>0</v>
      </c>
    </row>
    <row r="387" spans="1:11" ht="19.95" customHeight="1" x14ac:dyDescent="0.3">
      <c r="A387" s="3"/>
      <c r="B387" s="3"/>
      <c r="C387" s="4"/>
      <c r="D387" s="4"/>
      <c r="E387" s="4"/>
      <c r="F387" s="4"/>
      <c r="G387" s="4"/>
      <c r="H387" s="4"/>
      <c r="I387" s="4">
        <f>IF(ISNUMBER(J387), J387, IFERROR(INDEX(FICHAS!$A:$AAA, MATCH(A387, FICHAS!$A:$A, 0), MATCH("✏️ UF DISTRIBUIR (Escriba Aquí)", FICHAS!$3:$3, 0)) / COUNTIF(A:A, A387), 0))</f>
        <v>0</v>
      </c>
      <c r="J387" s="3"/>
      <c r="K387" s="4">
        <f t="shared" si="5"/>
        <v>0</v>
      </c>
    </row>
    <row r="388" spans="1:11" ht="19.95" customHeight="1" x14ac:dyDescent="0.3">
      <c r="A388" s="3"/>
      <c r="B388" s="3"/>
      <c r="C388" s="4"/>
      <c r="D388" s="4"/>
      <c r="E388" s="4"/>
      <c r="F388" s="4"/>
      <c r="G388" s="4"/>
      <c r="H388" s="4"/>
      <c r="I388" s="4">
        <f>IF(ISNUMBER(J388), J388, IFERROR(INDEX(FICHAS!$A:$AAA, MATCH(A388, FICHAS!$A:$A, 0), MATCH("✏️ UF DISTRIBUIR (Escriba Aquí)", FICHAS!$3:$3, 0)) / COUNTIF(A:A, A388), 0))</f>
        <v>0</v>
      </c>
      <c r="J388" s="3"/>
      <c r="K388" s="4">
        <f t="shared" si="5"/>
        <v>0</v>
      </c>
    </row>
    <row r="389" spans="1:11" ht="19.95" customHeight="1" x14ac:dyDescent="0.3">
      <c r="A389" s="3"/>
      <c r="B389" s="3"/>
      <c r="C389" s="4"/>
      <c r="D389" s="4"/>
      <c r="E389" s="4"/>
      <c r="F389" s="4"/>
      <c r="G389" s="4"/>
      <c r="H389" s="4"/>
      <c r="I389" s="4">
        <f>IF(ISNUMBER(J389), J389, IFERROR(INDEX(FICHAS!$A:$AAA, MATCH(A389, FICHAS!$A:$A, 0), MATCH("✏️ UF DISTRIBUIR (Escriba Aquí)", FICHAS!$3:$3, 0)) / COUNTIF(A:A, A389), 0))</f>
        <v>0</v>
      </c>
      <c r="J389" s="3"/>
      <c r="K389" s="4">
        <f t="shared" si="5"/>
        <v>0</v>
      </c>
    </row>
    <row r="390" spans="1:11" ht="19.95" customHeight="1" x14ac:dyDescent="0.3">
      <c r="A390" s="3"/>
      <c r="B390" s="3"/>
      <c r="C390" s="4"/>
      <c r="D390" s="4"/>
      <c r="E390" s="4"/>
      <c r="F390" s="4"/>
      <c r="G390" s="4"/>
      <c r="H390" s="4"/>
      <c r="I390" s="4">
        <f>IF(ISNUMBER(J390), J390, IFERROR(INDEX(FICHAS!$A:$AAA, MATCH(A390, FICHAS!$A:$A, 0), MATCH("✏️ UF DISTRIBUIR (Escriba Aquí)", FICHAS!$3:$3, 0)) / COUNTIF(A:A, A390), 0))</f>
        <v>0</v>
      </c>
      <c r="J390" s="3"/>
      <c r="K390" s="4">
        <f t="shared" si="5"/>
        <v>0</v>
      </c>
    </row>
    <row r="391" spans="1:11" ht="19.95" customHeight="1" x14ac:dyDescent="0.3">
      <c r="A391" s="3"/>
      <c r="B391" s="3"/>
      <c r="C391" s="4"/>
      <c r="D391" s="4"/>
      <c r="E391" s="4"/>
      <c r="F391" s="4"/>
      <c r="G391" s="4"/>
      <c r="H391" s="4"/>
      <c r="I391" s="4">
        <f>IF(ISNUMBER(J391), J391, IFERROR(INDEX(FICHAS!$A:$AAA, MATCH(A391, FICHAS!$A:$A, 0), MATCH("✏️ UF DISTRIBUIR (Escriba Aquí)", FICHAS!$3:$3, 0)) / COUNTIF(A:A, A391), 0))</f>
        <v>0</v>
      </c>
      <c r="J391" s="3"/>
      <c r="K391" s="4">
        <f t="shared" si="5"/>
        <v>0</v>
      </c>
    </row>
    <row r="392" spans="1:11" ht="19.95" customHeight="1" x14ac:dyDescent="0.3">
      <c r="A392" s="3"/>
      <c r="B392" s="3"/>
      <c r="C392" s="4"/>
      <c r="D392" s="4"/>
      <c r="E392" s="4"/>
      <c r="F392" s="4"/>
      <c r="G392" s="4"/>
      <c r="H392" s="4"/>
      <c r="I392" s="4">
        <f>IF(ISNUMBER(J392), J392, IFERROR(INDEX(FICHAS!$A:$AAA, MATCH(A392, FICHAS!$A:$A, 0), MATCH("✏️ UF DISTRIBUIR (Escriba Aquí)", FICHAS!$3:$3, 0)) / COUNTIF(A:A, A392), 0))</f>
        <v>0</v>
      </c>
      <c r="J392" s="3"/>
      <c r="K392" s="4">
        <f t="shared" si="5"/>
        <v>0</v>
      </c>
    </row>
    <row r="393" spans="1:11" ht="19.95" customHeight="1" x14ac:dyDescent="0.3">
      <c r="A393" s="3"/>
      <c r="B393" s="3"/>
      <c r="C393" s="4"/>
      <c r="D393" s="4"/>
      <c r="E393" s="4"/>
      <c r="F393" s="4"/>
      <c r="G393" s="4"/>
      <c r="H393" s="4"/>
      <c r="I393" s="4">
        <f>IF(ISNUMBER(J393), J393, IFERROR(INDEX(FICHAS!$A:$AAA, MATCH(A393, FICHAS!$A:$A, 0), MATCH("✏️ UF DISTRIBUIR (Escriba Aquí)", FICHAS!$3:$3, 0)) / COUNTIF(A:A, A393), 0))</f>
        <v>0</v>
      </c>
      <c r="J393" s="3"/>
      <c r="K393" s="4">
        <f t="shared" ref="K393:K456" si="6">IF(A393&lt;&gt;"",COUNTIF($A$4:$A$513,A393),0)</f>
        <v>0</v>
      </c>
    </row>
    <row r="394" spans="1:11" ht="19.95" customHeight="1" x14ac:dyDescent="0.3">
      <c r="A394" s="3"/>
      <c r="B394" s="3"/>
      <c r="C394" s="4"/>
      <c r="D394" s="4"/>
      <c r="E394" s="4"/>
      <c r="F394" s="4"/>
      <c r="G394" s="4"/>
      <c r="H394" s="4"/>
      <c r="I394" s="4">
        <f>IF(ISNUMBER(J394), J394, IFERROR(INDEX(FICHAS!$A:$AAA, MATCH(A394, FICHAS!$A:$A, 0), MATCH("✏️ UF DISTRIBUIR (Escriba Aquí)", FICHAS!$3:$3, 0)) / COUNTIF(A:A, A394), 0))</f>
        <v>0</v>
      </c>
      <c r="J394" s="3"/>
      <c r="K394" s="4">
        <f t="shared" si="6"/>
        <v>0</v>
      </c>
    </row>
    <row r="395" spans="1:11" ht="19.95" customHeight="1" x14ac:dyDescent="0.3">
      <c r="A395" s="3"/>
      <c r="B395" s="3"/>
      <c r="C395" s="4"/>
      <c r="D395" s="4"/>
      <c r="E395" s="4"/>
      <c r="F395" s="4"/>
      <c r="G395" s="4"/>
      <c r="H395" s="4"/>
      <c r="I395" s="4">
        <f>IF(ISNUMBER(J395), J395, IFERROR(INDEX(FICHAS!$A:$AAA, MATCH(A395, FICHAS!$A:$A, 0), MATCH("✏️ UF DISTRIBUIR (Escriba Aquí)", FICHAS!$3:$3, 0)) / COUNTIF(A:A, A395), 0))</f>
        <v>0</v>
      </c>
      <c r="J395" s="3"/>
      <c r="K395" s="4">
        <f t="shared" si="6"/>
        <v>0</v>
      </c>
    </row>
    <row r="396" spans="1:11" ht="19.95" customHeight="1" x14ac:dyDescent="0.3">
      <c r="A396" s="3"/>
      <c r="B396" s="3"/>
      <c r="C396" s="4"/>
      <c r="D396" s="4"/>
      <c r="E396" s="4"/>
      <c r="F396" s="4"/>
      <c r="G396" s="4"/>
      <c r="H396" s="4"/>
      <c r="I396" s="4">
        <f>IF(ISNUMBER(J396), J396, IFERROR(INDEX(FICHAS!$A:$AAA, MATCH(A396, FICHAS!$A:$A, 0), MATCH("✏️ UF DISTRIBUIR (Escriba Aquí)", FICHAS!$3:$3, 0)) / COUNTIF(A:A, A396), 0))</f>
        <v>0</v>
      </c>
      <c r="J396" s="3"/>
      <c r="K396" s="4">
        <f t="shared" si="6"/>
        <v>0</v>
      </c>
    </row>
    <row r="397" spans="1:11" ht="19.95" customHeight="1" x14ac:dyDescent="0.3">
      <c r="A397" s="3"/>
      <c r="B397" s="3"/>
      <c r="C397" s="4"/>
      <c r="D397" s="4"/>
      <c r="E397" s="4"/>
      <c r="F397" s="4"/>
      <c r="G397" s="4"/>
      <c r="H397" s="4"/>
      <c r="I397" s="4">
        <f>IF(ISNUMBER(J397), J397, IFERROR(INDEX(FICHAS!$A:$AAA, MATCH(A397, FICHAS!$A:$A, 0), MATCH("✏️ UF DISTRIBUIR (Escriba Aquí)", FICHAS!$3:$3, 0)) / COUNTIF(A:A, A397), 0))</f>
        <v>0</v>
      </c>
      <c r="J397" s="3"/>
      <c r="K397" s="4">
        <f t="shared" si="6"/>
        <v>0</v>
      </c>
    </row>
    <row r="398" spans="1:11" ht="19.95" customHeight="1" x14ac:dyDescent="0.3">
      <c r="A398" s="3"/>
      <c r="B398" s="3"/>
      <c r="C398" s="4"/>
      <c r="D398" s="4"/>
      <c r="E398" s="4"/>
      <c r="F398" s="4"/>
      <c r="G398" s="4"/>
      <c r="H398" s="4"/>
      <c r="I398" s="4">
        <f>IF(ISNUMBER(J398), J398, IFERROR(INDEX(FICHAS!$A:$AAA, MATCH(A398, FICHAS!$A:$A, 0), MATCH("✏️ UF DISTRIBUIR (Escriba Aquí)", FICHAS!$3:$3, 0)) / COUNTIF(A:A, A398), 0))</f>
        <v>0</v>
      </c>
      <c r="J398" s="3"/>
      <c r="K398" s="4">
        <f t="shared" si="6"/>
        <v>0</v>
      </c>
    </row>
    <row r="399" spans="1:11" ht="19.95" customHeight="1" x14ac:dyDescent="0.3">
      <c r="A399" s="3"/>
      <c r="B399" s="3"/>
      <c r="C399" s="4"/>
      <c r="D399" s="4"/>
      <c r="E399" s="4"/>
      <c r="F399" s="4"/>
      <c r="G399" s="4"/>
      <c r="H399" s="4"/>
      <c r="I399" s="4">
        <f>IF(ISNUMBER(J399), J399, IFERROR(INDEX(FICHAS!$A:$AAA, MATCH(A399, FICHAS!$A:$A, 0), MATCH("✏️ UF DISTRIBUIR (Escriba Aquí)", FICHAS!$3:$3, 0)) / COUNTIF(A:A, A399), 0))</f>
        <v>0</v>
      </c>
      <c r="J399" s="3"/>
      <c r="K399" s="4">
        <f t="shared" si="6"/>
        <v>0</v>
      </c>
    </row>
    <row r="400" spans="1:11" ht="19.95" customHeight="1" x14ac:dyDescent="0.3">
      <c r="A400" s="3"/>
      <c r="B400" s="3"/>
      <c r="C400" s="4"/>
      <c r="D400" s="4"/>
      <c r="E400" s="4"/>
      <c r="F400" s="4"/>
      <c r="G400" s="4"/>
      <c r="H400" s="4"/>
      <c r="I400" s="4">
        <f>IF(ISNUMBER(J400), J400, IFERROR(INDEX(FICHAS!$A:$AAA, MATCH(A400, FICHAS!$A:$A, 0), MATCH("✏️ UF DISTRIBUIR (Escriba Aquí)", FICHAS!$3:$3, 0)) / COUNTIF(A:A, A400), 0))</f>
        <v>0</v>
      </c>
      <c r="J400" s="3"/>
      <c r="K400" s="4">
        <f t="shared" si="6"/>
        <v>0</v>
      </c>
    </row>
    <row r="401" spans="1:11" ht="19.95" customHeight="1" x14ac:dyDescent="0.3">
      <c r="A401" s="3"/>
      <c r="B401" s="3"/>
      <c r="C401" s="4"/>
      <c r="D401" s="4"/>
      <c r="E401" s="4"/>
      <c r="F401" s="4"/>
      <c r="G401" s="4"/>
      <c r="H401" s="4"/>
      <c r="I401" s="4">
        <f>IF(ISNUMBER(J401), J401, IFERROR(INDEX(FICHAS!$A:$AAA, MATCH(A401, FICHAS!$A:$A, 0), MATCH("✏️ UF DISTRIBUIR (Escriba Aquí)", FICHAS!$3:$3, 0)) / COUNTIF(A:A, A401), 0))</f>
        <v>0</v>
      </c>
      <c r="J401" s="3"/>
      <c r="K401" s="4">
        <f t="shared" si="6"/>
        <v>0</v>
      </c>
    </row>
    <row r="402" spans="1:11" ht="19.95" customHeight="1" x14ac:dyDescent="0.3">
      <c r="A402" s="3"/>
      <c r="B402" s="3"/>
      <c r="C402" s="4"/>
      <c r="D402" s="4"/>
      <c r="E402" s="4"/>
      <c r="F402" s="4"/>
      <c r="G402" s="4"/>
      <c r="H402" s="4"/>
      <c r="I402" s="4">
        <f>IF(ISNUMBER(J402), J402, IFERROR(INDEX(FICHAS!$A:$AAA, MATCH(A402, FICHAS!$A:$A, 0), MATCH("✏️ UF DISTRIBUIR (Escriba Aquí)", FICHAS!$3:$3, 0)) / COUNTIF(A:A, A402), 0))</f>
        <v>0</v>
      </c>
      <c r="J402" s="3"/>
      <c r="K402" s="4">
        <f t="shared" si="6"/>
        <v>0</v>
      </c>
    </row>
    <row r="403" spans="1:11" ht="19.95" customHeight="1" x14ac:dyDescent="0.3">
      <c r="A403" s="3"/>
      <c r="B403" s="3"/>
      <c r="C403" s="4"/>
      <c r="D403" s="4"/>
      <c r="E403" s="4"/>
      <c r="F403" s="4"/>
      <c r="G403" s="4"/>
      <c r="H403" s="4"/>
      <c r="I403" s="4">
        <f>IF(ISNUMBER(J403), J403, IFERROR(INDEX(FICHAS!$A:$AAA, MATCH(A403, FICHAS!$A:$A, 0), MATCH("✏️ UF DISTRIBUIR (Escriba Aquí)", FICHAS!$3:$3, 0)) / COUNTIF(A:A, A403), 0))</f>
        <v>0</v>
      </c>
      <c r="J403" s="3"/>
      <c r="K403" s="4">
        <f t="shared" si="6"/>
        <v>0</v>
      </c>
    </row>
    <row r="404" spans="1:11" ht="19.95" customHeight="1" x14ac:dyDescent="0.3">
      <c r="A404" s="3"/>
      <c r="B404" s="3"/>
      <c r="C404" s="4"/>
      <c r="D404" s="4"/>
      <c r="E404" s="4"/>
      <c r="F404" s="4"/>
      <c r="G404" s="4"/>
      <c r="H404" s="4"/>
      <c r="I404" s="4">
        <f>IF(ISNUMBER(J404), J404, IFERROR(INDEX(FICHAS!$A:$AAA, MATCH(A404, FICHAS!$A:$A, 0), MATCH("✏️ UF DISTRIBUIR (Escriba Aquí)", FICHAS!$3:$3, 0)) / COUNTIF(A:A, A404), 0))</f>
        <v>0</v>
      </c>
      <c r="J404" s="3"/>
      <c r="K404" s="4">
        <f t="shared" si="6"/>
        <v>0</v>
      </c>
    </row>
    <row r="405" spans="1:11" ht="19.95" customHeight="1" x14ac:dyDescent="0.3">
      <c r="A405" s="3"/>
      <c r="B405" s="3"/>
      <c r="C405" s="4"/>
      <c r="D405" s="4"/>
      <c r="E405" s="4"/>
      <c r="F405" s="4"/>
      <c r="G405" s="4"/>
      <c r="H405" s="4"/>
      <c r="I405" s="4">
        <f>IF(ISNUMBER(J405), J405, IFERROR(INDEX(FICHAS!$A:$AAA, MATCH(A405, FICHAS!$A:$A, 0), MATCH("✏️ UF DISTRIBUIR (Escriba Aquí)", FICHAS!$3:$3, 0)) / COUNTIF(A:A, A405), 0))</f>
        <v>0</v>
      </c>
      <c r="J405" s="3"/>
      <c r="K405" s="4">
        <f t="shared" si="6"/>
        <v>0</v>
      </c>
    </row>
    <row r="406" spans="1:11" ht="19.95" customHeight="1" x14ac:dyDescent="0.3">
      <c r="A406" s="3"/>
      <c r="B406" s="3"/>
      <c r="C406" s="4"/>
      <c r="D406" s="4"/>
      <c r="E406" s="4"/>
      <c r="F406" s="4"/>
      <c r="G406" s="4"/>
      <c r="H406" s="4"/>
      <c r="I406" s="4">
        <f>IF(ISNUMBER(J406), J406, IFERROR(INDEX(FICHAS!$A:$AAA, MATCH(A406, FICHAS!$A:$A, 0), MATCH("✏️ UF DISTRIBUIR (Escriba Aquí)", FICHAS!$3:$3, 0)) / COUNTIF(A:A, A406), 0))</f>
        <v>0</v>
      </c>
      <c r="J406" s="3"/>
      <c r="K406" s="4">
        <f t="shared" si="6"/>
        <v>0</v>
      </c>
    </row>
    <row r="407" spans="1:11" ht="19.95" customHeight="1" x14ac:dyDescent="0.3">
      <c r="A407" s="3"/>
      <c r="B407" s="3"/>
      <c r="C407" s="4"/>
      <c r="D407" s="4"/>
      <c r="E407" s="4"/>
      <c r="F407" s="4"/>
      <c r="G407" s="4"/>
      <c r="H407" s="4"/>
      <c r="I407" s="4">
        <f>IF(ISNUMBER(J407), J407, IFERROR(INDEX(FICHAS!$A:$AAA, MATCH(A407, FICHAS!$A:$A, 0), MATCH("✏️ UF DISTRIBUIR (Escriba Aquí)", FICHAS!$3:$3, 0)) / COUNTIF(A:A, A407), 0))</f>
        <v>0</v>
      </c>
      <c r="J407" s="3"/>
      <c r="K407" s="4">
        <f t="shared" si="6"/>
        <v>0</v>
      </c>
    </row>
    <row r="408" spans="1:11" ht="19.95" customHeight="1" x14ac:dyDescent="0.3">
      <c r="A408" s="3"/>
      <c r="B408" s="3"/>
      <c r="C408" s="4"/>
      <c r="D408" s="4"/>
      <c r="E408" s="4"/>
      <c r="F408" s="4"/>
      <c r="G408" s="4"/>
      <c r="H408" s="4"/>
      <c r="I408" s="4">
        <f>IF(ISNUMBER(J408), J408, IFERROR(INDEX(FICHAS!$A:$AAA, MATCH(A408, FICHAS!$A:$A, 0), MATCH("✏️ UF DISTRIBUIR (Escriba Aquí)", FICHAS!$3:$3, 0)) / COUNTIF(A:A, A408), 0))</f>
        <v>0</v>
      </c>
      <c r="J408" s="3"/>
      <c r="K408" s="4">
        <f t="shared" si="6"/>
        <v>0</v>
      </c>
    </row>
    <row r="409" spans="1:11" ht="19.95" customHeight="1" x14ac:dyDescent="0.3">
      <c r="A409" s="3"/>
      <c r="B409" s="3"/>
      <c r="C409" s="4"/>
      <c r="D409" s="4"/>
      <c r="E409" s="4"/>
      <c r="F409" s="4"/>
      <c r="G409" s="4"/>
      <c r="H409" s="4"/>
      <c r="I409" s="4">
        <f>IF(ISNUMBER(J409), J409, IFERROR(INDEX(FICHAS!$A:$AAA, MATCH(A409, FICHAS!$A:$A, 0), MATCH("✏️ UF DISTRIBUIR (Escriba Aquí)", FICHAS!$3:$3, 0)) / COUNTIF(A:A, A409), 0))</f>
        <v>0</v>
      </c>
      <c r="J409" s="3"/>
      <c r="K409" s="4">
        <f t="shared" si="6"/>
        <v>0</v>
      </c>
    </row>
    <row r="410" spans="1:11" ht="19.95" customHeight="1" x14ac:dyDescent="0.3">
      <c r="A410" s="3"/>
      <c r="B410" s="3"/>
      <c r="C410" s="4"/>
      <c r="D410" s="4"/>
      <c r="E410" s="4"/>
      <c r="F410" s="4"/>
      <c r="G410" s="4"/>
      <c r="H410" s="4"/>
      <c r="I410" s="4">
        <f>IF(ISNUMBER(J410), J410, IFERROR(INDEX(FICHAS!$A:$AAA, MATCH(A410, FICHAS!$A:$A, 0), MATCH("✏️ UF DISTRIBUIR (Escriba Aquí)", FICHAS!$3:$3, 0)) / COUNTIF(A:A, A410), 0))</f>
        <v>0</v>
      </c>
      <c r="J410" s="3"/>
      <c r="K410" s="4">
        <f t="shared" si="6"/>
        <v>0</v>
      </c>
    </row>
    <row r="411" spans="1:11" ht="19.95" customHeight="1" x14ac:dyDescent="0.3">
      <c r="A411" s="3"/>
      <c r="B411" s="3"/>
      <c r="C411" s="4"/>
      <c r="D411" s="4"/>
      <c r="E411" s="4"/>
      <c r="F411" s="4"/>
      <c r="G411" s="4"/>
      <c r="H411" s="4"/>
      <c r="I411" s="4">
        <f>IF(ISNUMBER(J411), J411, IFERROR(INDEX(FICHAS!$A:$AAA, MATCH(A411, FICHAS!$A:$A, 0), MATCH("✏️ UF DISTRIBUIR (Escriba Aquí)", FICHAS!$3:$3, 0)) / COUNTIF(A:A, A411), 0))</f>
        <v>0</v>
      </c>
      <c r="J411" s="3"/>
      <c r="K411" s="4">
        <f t="shared" si="6"/>
        <v>0</v>
      </c>
    </row>
    <row r="412" spans="1:11" ht="19.95" customHeight="1" x14ac:dyDescent="0.3">
      <c r="A412" s="3"/>
      <c r="B412" s="3"/>
      <c r="C412" s="4"/>
      <c r="D412" s="4"/>
      <c r="E412" s="4"/>
      <c r="F412" s="4"/>
      <c r="G412" s="4"/>
      <c r="H412" s="4"/>
      <c r="I412" s="4">
        <f>IF(ISNUMBER(J412), J412, IFERROR(INDEX(FICHAS!$A:$AAA, MATCH(A412, FICHAS!$A:$A, 0), MATCH("✏️ UF DISTRIBUIR (Escriba Aquí)", FICHAS!$3:$3, 0)) / COUNTIF(A:A, A412), 0))</f>
        <v>0</v>
      </c>
      <c r="J412" s="3"/>
      <c r="K412" s="4">
        <f t="shared" si="6"/>
        <v>0</v>
      </c>
    </row>
    <row r="413" spans="1:11" ht="19.95" customHeight="1" x14ac:dyDescent="0.3">
      <c r="A413" s="3"/>
      <c r="B413" s="3"/>
      <c r="C413" s="4"/>
      <c r="D413" s="4"/>
      <c r="E413" s="4"/>
      <c r="F413" s="4"/>
      <c r="G413" s="4"/>
      <c r="H413" s="4"/>
      <c r="I413" s="4">
        <f>IF(ISNUMBER(J413), J413, IFERROR(INDEX(FICHAS!$A:$AAA, MATCH(A413, FICHAS!$A:$A, 0), MATCH("✏️ UF DISTRIBUIR (Escriba Aquí)", FICHAS!$3:$3, 0)) / COUNTIF(A:A, A413), 0))</f>
        <v>0</v>
      </c>
      <c r="J413" s="3"/>
      <c r="K413" s="4">
        <f t="shared" si="6"/>
        <v>0</v>
      </c>
    </row>
    <row r="414" spans="1:11" ht="19.95" customHeight="1" x14ac:dyDescent="0.3">
      <c r="A414" s="3"/>
      <c r="B414" s="3"/>
      <c r="C414" s="4"/>
      <c r="D414" s="4"/>
      <c r="E414" s="4"/>
      <c r="F414" s="4"/>
      <c r="G414" s="4"/>
      <c r="H414" s="4"/>
      <c r="I414" s="4">
        <f>IF(ISNUMBER(J414), J414, IFERROR(INDEX(FICHAS!$A:$AAA, MATCH(A414, FICHAS!$A:$A, 0), MATCH("✏️ UF DISTRIBUIR (Escriba Aquí)", FICHAS!$3:$3, 0)) / COUNTIF(A:A, A414), 0))</f>
        <v>0</v>
      </c>
      <c r="J414" s="3"/>
      <c r="K414" s="4">
        <f t="shared" si="6"/>
        <v>0</v>
      </c>
    </row>
    <row r="415" spans="1:11" ht="19.95" customHeight="1" x14ac:dyDescent="0.3">
      <c r="A415" s="3"/>
      <c r="B415" s="3"/>
      <c r="C415" s="4"/>
      <c r="D415" s="4"/>
      <c r="E415" s="4"/>
      <c r="F415" s="4"/>
      <c r="G415" s="4"/>
      <c r="H415" s="4"/>
      <c r="I415" s="4">
        <f>IF(ISNUMBER(J415), J415, IFERROR(INDEX(FICHAS!$A:$AAA, MATCH(A415, FICHAS!$A:$A, 0), MATCH("✏️ UF DISTRIBUIR (Escriba Aquí)", FICHAS!$3:$3, 0)) / COUNTIF(A:A, A415), 0))</f>
        <v>0</v>
      </c>
      <c r="J415" s="3"/>
      <c r="K415" s="4">
        <f t="shared" si="6"/>
        <v>0</v>
      </c>
    </row>
    <row r="416" spans="1:11" ht="19.95" customHeight="1" x14ac:dyDescent="0.3">
      <c r="A416" s="3"/>
      <c r="B416" s="3"/>
      <c r="C416" s="4"/>
      <c r="D416" s="4"/>
      <c r="E416" s="4"/>
      <c r="F416" s="4"/>
      <c r="G416" s="4"/>
      <c r="H416" s="4"/>
      <c r="I416" s="4">
        <f>IF(ISNUMBER(J416), J416, IFERROR(INDEX(FICHAS!$A:$AAA, MATCH(A416, FICHAS!$A:$A, 0), MATCH("✏️ UF DISTRIBUIR (Escriba Aquí)", FICHAS!$3:$3, 0)) / COUNTIF(A:A, A416), 0))</f>
        <v>0</v>
      </c>
      <c r="J416" s="3"/>
      <c r="K416" s="4">
        <f t="shared" si="6"/>
        <v>0</v>
      </c>
    </row>
    <row r="417" spans="1:11" ht="19.95" customHeight="1" x14ac:dyDescent="0.3">
      <c r="A417" s="3"/>
      <c r="B417" s="3"/>
      <c r="C417" s="4"/>
      <c r="D417" s="4"/>
      <c r="E417" s="4"/>
      <c r="F417" s="4"/>
      <c r="G417" s="4"/>
      <c r="H417" s="4"/>
      <c r="I417" s="4">
        <f>IF(ISNUMBER(J417), J417, IFERROR(INDEX(FICHAS!$A:$AAA, MATCH(A417, FICHAS!$A:$A, 0), MATCH("✏️ UF DISTRIBUIR (Escriba Aquí)", FICHAS!$3:$3, 0)) / COUNTIF(A:A, A417), 0))</f>
        <v>0</v>
      </c>
      <c r="J417" s="3"/>
      <c r="K417" s="4">
        <f t="shared" si="6"/>
        <v>0</v>
      </c>
    </row>
    <row r="418" spans="1:11" ht="19.95" customHeight="1" x14ac:dyDescent="0.3">
      <c r="A418" s="3"/>
      <c r="B418" s="3"/>
      <c r="C418" s="4"/>
      <c r="D418" s="4"/>
      <c r="E418" s="4"/>
      <c r="F418" s="4"/>
      <c r="G418" s="4"/>
      <c r="H418" s="4"/>
      <c r="I418" s="4">
        <f>IF(ISNUMBER(J418), J418, IFERROR(INDEX(FICHAS!$A:$AAA, MATCH(A418, FICHAS!$A:$A, 0), MATCH("✏️ UF DISTRIBUIR (Escriba Aquí)", FICHAS!$3:$3, 0)) / COUNTIF(A:A, A418), 0))</f>
        <v>0</v>
      </c>
      <c r="J418" s="3"/>
      <c r="K418" s="4">
        <f t="shared" si="6"/>
        <v>0</v>
      </c>
    </row>
    <row r="419" spans="1:11" ht="19.95" customHeight="1" x14ac:dyDescent="0.3">
      <c r="A419" s="3"/>
      <c r="B419" s="3"/>
      <c r="C419" s="4"/>
      <c r="D419" s="4"/>
      <c r="E419" s="4"/>
      <c r="F419" s="4"/>
      <c r="G419" s="4"/>
      <c r="H419" s="4"/>
      <c r="I419" s="4">
        <f>IF(ISNUMBER(J419), J419, IFERROR(INDEX(FICHAS!$A:$AAA, MATCH(A419, FICHAS!$A:$A, 0), MATCH("✏️ UF DISTRIBUIR (Escriba Aquí)", FICHAS!$3:$3, 0)) / COUNTIF(A:A, A419), 0))</f>
        <v>0</v>
      </c>
      <c r="J419" s="3"/>
      <c r="K419" s="4">
        <f t="shared" si="6"/>
        <v>0</v>
      </c>
    </row>
    <row r="420" spans="1:11" ht="19.95" customHeight="1" x14ac:dyDescent="0.3">
      <c r="A420" s="3"/>
      <c r="B420" s="3"/>
      <c r="C420" s="4"/>
      <c r="D420" s="4"/>
      <c r="E420" s="4"/>
      <c r="F420" s="4"/>
      <c r="G420" s="4"/>
      <c r="H420" s="4"/>
      <c r="I420" s="4">
        <f>IF(ISNUMBER(J420), J420, IFERROR(INDEX(FICHAS!$A:$AAA, MATCH(A420, FICHAS!$A:$A, 0), MATCH("✏️ UF DISTRIBUIR (Escriba Aquí)", FICHAS!$3:$3, 0)) / COUNTIF(A:A, A420), 0))</f>
        <v>0</v>
      </c>
      <c r="J420" s="3"/>
      <c r="K420" s="4">
        <f t="shared" si="6"/>
        <v>0</v>
      </c>
    </row>
    <row r="421" spans="1:11" ht="19.95" customHeight="1" x14ac:dyDescent="0.3">
      <c r="A421" s="3"/>
      <c r="B421" s="3"/>
      <c r="C421" s="4"/>
      <c r="D421" s="4"/>
      <c r="E421" s="4"/>
      <c r="F421" s="4"/>
      <c r="G421" s="4"/>
      <c r="H421" s="4"/>
      <c r="I421" s="4">
        <f>IF(ISNUMBER(J421), J421, IFERROR(INDEX(FICHAS!$A:$AAA, MATCH(A421, FICHAS!$A:$A, 0), MATCH("✏️ UF DISTRIBUIR (Escriba Aquí)", FICHAS!$3:$3, 0)) / COUNTIF(A:A, A421), 0))</f>
        <v>0</v>
      </c>
      <c r="J421" s="3"/>
      <c r="K421" s="4">
        <f t="shared" si="6"/>
        <v>0</v>
      </c>
    </row>
    <row r="422" spans="1:11" ht="19.95" customHeight="1" x14ac:dyDescent="0.3">
      <c r="A422" s="3"/>
      <c r="B422" s="3"/>
      <c r="C422" s="4"/>
      <c r="D422" s="4"/>
      <c r="E422" s="4"/>
      <c r="F422" s="4"/>
      <c r="G422" s="4"/>
      <c r="H422" s="4"/>
      <c r="I422" s="4">
        <f>IF(ISNUMBER(J422), J422, IFERROR(INDEX(FICHAS!$A:$AAA, MATCH(A422, FICHAS!$A:$A, 0), MATCH("✏️ UF DISTRIBUIR (Escriba Aquí)", FICHAS!$3:$3, 0)) / COUNTIF(A:A, A422), 0))</f>
        <v>0</v>
      </c>
      <c r="J422" s="3"/>
      <c r="K422" s="4">
        <f t="shared" si="6"/>
        <v>0</v>
      </c>
    </row>
    <row r="423" spans="1:11" ht="19.95" customHeight="1" x14ac:dyDescent="0.3">
      <c r="A423" s="3"/>
      <c r="B423" s="3"/>
      <c r="C423" s="4"/>
      <c r="D423" s="4"/>
      <c r="E423" s="4"/>
      <c r="F423" s="4"/>
      <c r="G423" s="4"/>
      <c r="H423" s="4"/>
      <c r="I423" s="4">
        <f>IF(ISNUMBER(J423), J423, IFERROR(INDEX(FICHAS!$A:$AAA, MATCH(A423, FICHAS!$A:$A, 0), MATCH("✏️ UF DISTRIBUIR (Escriba Aquí)", FICHAS!$3:$3, 0)) / COUNTIF(A:A, A423), 0))</f>
        <v>0</v>
      </c>
      <c r="J423" s="3"/>
      <c r="K423" s="4">
        <f t="shared" si="6"/>
        <v>0</v>
      </c>
    </row>
    <row r="424" spans="1:11" ht="19.95" customHeight="1" x14ac:dyDescent="0.3">
      <c r="A424" s="3"/>
      <c r="B424" s="3"/>
      <c r="C424" s="4"/>
      <c r="D424" s="4"/>
      <c r="E424" s="4"/>
      <c r="F424" s="4"/>
      <c r="G424" s="4"/>
      <c r="H424" s="4"/>
      <c r="I424" s="4">
        <f>IF(ISNUMBER(J424), J424, IFERROR(INDEX(FICHAS!$A:$AAA, MATCH(A424, FICHAS!$A:$A, 0), MATCH("✏️ UF DISTRIBUIR (Escriba Aquí)", FICHAS!$3:$3, 0)) / COUNTIF(A:A, A424), 0))</f>
        <v>0</v>
      </c>
      <c r="J424" s="3"/>
      <c r="K424" s="4">
        <f t="shared" si="6"/>
        <v>0</v>
      </c>
    </row>
    <row r="425" spans="1:11" ht="19.95" customHeight="1" x14ac:dyDescent="0.3">
      <c r="A425" s="3"/>
      <c r="B425" s="3"/>
      <c r="C425" s="4"/>
      <c r="D425" s="4"/>
      <c r="E425" s="4"/>
      <c r="F425" s="4"/>
      <c r="G425" s="4"/>
      <c r="H425" s="4"/>
      <c r="I425" s="4">
        <f>IF(ISNUMBER(J425), J425, IFERROR(INDEX(FICHAS!$A:$AAA, MATCH(A425, FICHAS!$A:$A, 0), MATCH("✏️ UF DISTRIBUIR (Escriba Aquí)", FICHAS!$3:$3, 0)) / COUNTIF(A:A, A425), 0))</f>
        <v>0</v>
      </c>
      <c r="J425" s="3"/>
      <c r="K425" s="4">
        <f t="shared" si="6"/>
        <v>0</v>
      </c>
    </row>
    <row r="426" spans="1:11" ht="19.95" customHeight="1" x14ac:dyDescent="0.3">
      <c r="A426" s="3"/>
      <c r="B426" s="3"/>
      <c r="C426" s="4"/>
      <c r="D426" s="4"/>
      <c r="E426" s="4"/>
      <c r="F426" s="4"/>
      <c r="G426" s="4"/>
      <c r="H426" s="4"/>
      <c r="I426" s="4">
        <f>IF(ISNUMBER(J426), J426, IFERROR(INDEX(FICHAS!$A:$AAA, MATCH(A426, FICHAS!$A:$A, 0), MATCH("✏️ UF DISTRIBUIR (Escriba Aquí)", FICHAS!$3:$3, 0)) / COUNTIF(A:A, A426), 0))</f>
        <v>0</v>
      </c>
      <c r="J426" s="3"/>
      <c r="K426" s="4">
        <f t="shared" si="6"/>
        <v>0</v>
      </c>
    </row>
    <row r="427" spans="1:11" ht="19.95" customHeight="1" x14ac:dyDescent="0.3">
      <c r="A427" s="3"/>
      <c r="B427" s="3"/>
      <c r="C427" s="4"/>
      <c r="D427" s="4"/>
      <c r="E427" s="4"/>
      <c r="F427" s="4"/>
      <c r="G427" s="4"/>
      <c r="H427" s="4"/>
      <c r="I427" s="4">
        <f>IF(ISNUMBER(J427), J427, IFERROR(INDEX(FICHAS!$A:$AAA, MATCH(A427, FICHAS!$A:$A, 0), MATCH("✏️ UF DISTRIBUIR (Escriba Aquí)", FICHAS!$3:$3, 0)) / COUNTIF(A:A, A427), 0))</f>
        <v>0</v>
      </c>
      <c r="J427" s="3"/>
      <c r="K427" s="4">
        <f t="shared" si="6"/>
        <v>0</v>
      </c>
    </row>
    <row r="428" spans="1:11" ht="19.95" customHeight="1" x14ac:dyDescent="0.3">
      <c r="A428" s="3"/>
      <c r="B428" s="3"/>
      <c r="C428" s="4"/>
      <c r="D428" s="4"/>
      <c r="E428" s="4"/>
      <c r="F428" s="4"/>
      <c r="G428" s="4"/>
      <c r="H428" s="4"/>
      <c r="I428" s="4">
        <f>IF(ISNUMBER(J428), J428, IFERROR(INDEX(FICHAS!$A:$AAA, MATCH(A428, FICHAS!$A:$A, 0), MATCH("✏️ UF DISTRIBUIR (Escriba Aquí)", FICHAS!$3:$3, 0)) / COUNTIF(A:A, A428), 0))</f>
        <v>0</v>
      </c>
      <c r="J428" s="3"/>
      <c r="K428" s="4">
        <f t="shared" si="6"/>
        <v>0</v>
      </c>
    </row>
    <row r="429" spans="1:11" ht="19.95" customHeight="1" x14ac:dyDescent="0.3">
      <c r="A429" s="3"/>
      <c r="B429" s="3"/>
      <c r="C429" s="4"/>
      <c r="D429" s="4"/>
      <c r="E429" s="4"/>
      <c r="F429" s="4"/>
      <c r="G429" s="4"/>
      <c r="H429" s="4"/>
      <c r="I429" s="4">
        <f>IF(ISNUMBER(J429), J429, IFERROR(INDEX(FICHAS!$A:$AAA, MATCH(A429, FICHAS!$A:$A, 0), MATCH("✏️ UF DISTRIBUIR (Escriba Aquí)", FICHAS!$3:$3, 0)) / COUNTIF(A:A, A429), 0))</f>
        <v>0</v>
      </c>
      <c r="J429" s="3"/>
      <c r="K429" s="4">
        <f t="shared" si="6"/>
        <v>0</v>
      </c>
    </row>
    <row r="430" spans="1:11" ht="19.95" customHeight="1" x14ac:dyDescent="0.3">
      <c r="A430" s="3"/>
      <c r="B430" s="3"/>
      <c r="C430" s="4"/>
      <c r="D430" s="4"/>
      <c r="E430" s="4"/>
      <c r="F430" s="4"/>
      <c r="G430" s="4"/>
      <c r="H430" s="4"/>
      <c r="I430" s="4">
        <f>IF(ISNUMBER(J430), J430, IFERROR(INDEX(FICHAS!$A:$AAA, MATCH(A430, FICHAS!$A:$A, 0), MATCH("✏️ UF DISTRIBUIR (Escriba Aquí)", FICHAS!$3:$3, 0)) / COUNTIF(A:A, A430), 0))</f>
        <v>0</v>
      </c>
      <c r="J430" s="3"/>
      <c r="K430" s="4">
        <f t="shared" si="6"/>
        <v>0</v>
      </c>
    </row>
    <row r="431" spans="1:11" ht="19.95" customHeight="1" x14ac:dyDescent="0.3">
      <c r="A431" s="3"/>
      <c r="B431" s="3"/>
      <c r="C431" s="4"/>
      <c r="D431" s="4"/>
      <c r="E431" s="4"/>
      <c r="F431" s="4"/>
      <c r="G431" s="4"/>
      <c r="H431" s="4"/>
      <c r="I431" s="4">
        <f>IF(ISNUMBER(J431), J431, IFERROR(INDEX(FICHAS!$A:$AAA, MATCH(A431, FICHAS!$A:$A, 0), MATCH("✏️ UF DISTRIBUIR (Escriba Aquí)", FICHAS!$3:$3, 0)) / COUNTIF(A:A, A431), 0))</f>
        <v>0</v>
      </c>
      <c r="J431" s="3"/>
      <c r="K431" s="4">
        <f t="shared" si="6"/>
        <v>0</v>
      </c>
    </row>
    <row r="432" spans="1:11" ht="19.95" customHeight="1" x14ac:dyDescent="0.3">
      <c r="A432" s="3"/>
      <c r="B432" s="3"/>
      <c r="C432" s="4"/>
      <c r="D432" s="4"/>
      <c r="E432" s="4"/>
      <c r="F432" s="4"/>
      <c r="G432" s="4"/>
      <c r="H432" s="4"/>
      <c r="I432" s="4">
        <f>IF(ISNUMBER(J432), J432, IFERROR(INDEX(FICHAS!$A:$AAA, MATCH(A432, FICHAS!$A:$A, 0), MATCH("✏️ UF DISTRIBUIR (Escriba Aquí)", FICHAS!$3:$3, 0)) / COUNTIF(A:A, A432), 0))</f>
        <v>0</v>
      </c>
      <c r="J432" s="3"/>
      <c r="K432" s="4">
        <f t="shared" si="6"/>
        <v>0</v>
      </c>
    </row>
    <row r="433" spans="1:11" ht="19.95" customHeight="1" x14ac:dyDescent="0.3">
      <c r="A433" s="3"/>
      <c r="B433" s="3"/>
      <c r="C433" s="4"/>
      <c r="D433" s="4"/>
      <c r="E433" s="4"/>
      <c r="F433" s="4"/>
      <c r="G433" s="4"/>
      <c r="H433" s="4"/>
      <c r="I433" s="4">
        <f>IF(ISNUMBER(J433), J433, IFERROR(INDEX(FICHAS!$A:$AAA, MATCH(A433, FICHAS!$A:$A, 0), MATCH("✏️ UF DISTRIBUIR (Escriba Aquí)", FICHAS!$3:$3, 0)) / COUNTIF(A:A, A433), 0))</f>
        <v>0</v>
      </c>
      <c r="J433" s="3"/>
      <c r="K433" s="4">
        <f t="shared" si="6"/>
        <v>0</v>
      </c>
    </row>
    <row r="434" spans="1:11" ht="19.95" customHeight="1" x14ac:dyDescent="0.3">
      <c r="A434" s="3"/>
      <c r="B434" s="3"/>
      <c r="C434" s="4"/>
      <c r="D434" s="4"/>
      <c r="E434" s="4"/>
      <c r="F434" s="4"/>
      <c r="G434" s="4"/>
      <c r="H434" s="4"/>
      <c r="I434" s="4">
        <f>IF(ISNUMBER(J434), J434, IFERROR(INDEX(FICHAS!$A:$AAA, MATCH(A434, FICHAS!$A:$A, 0), MATCH("✏️ UF DISTRIBUIR (Escriba Aquí)", FICHAS!$3:$3, 0)) / COUNTIF(A:A, A434), 0))</f>
        <v>0</v>
      </c>
      <c r="J434" s="3"/>
      <c r="K434" s="4">
        <f t="shared" si="6"/>
        <v>0</v>
      </c>
    </row>
    <row r="435" spans="1:11" ht="19.95" customHeight="1" x14ac:dyDescent="0.3">
      <c r="A435" s="3"/>
      <c r="B435" s="3"/>
      <c r="C435" s="4"/>
      <c r="D435" s="4"/>
      <c r="E435" s="4"/>
      <c r="F435" s="4"/>
      <c r="G435" s="4"/>
      <c r="H435" s="4"/>
      <c r="I435" s="4">
        <f>IF(ISNUMBER(J435), J435, IFERROR(INDEX(FICHAS!$A:$AAA, MATCH(A435, FICHAS!$A:$A, 0), MATCH("✏️ UF DISTRIBUIR (Escriba Aquí)", FICHAS!$3:$3, 0)) / COUNTIF(A:A, A435), 0))</f>
        <v>0</v>
      </c>
      <c r="J435" s="3"/>
      <c r="K435" s="4">
        <f t="shared" si="6"/>
        <v>0</v>
      </c>
    </row>
    <row r="436" spans="1:11" ht="19.95" customHeight="1" x14ac:dyDescent="0.3">
      <c r="A436" s="3"/>
      <c r="B436" s="3"/>
      <c r="C436" s="4"/>
      <c r="D436" s="4"/>
      <c r="E436" s="4"/>
      <c r="F436" s="4"/>
      <c r="G436" s="4"/>
      <c r="H436" s="4"/>
      <c r="I436" s="4">
        <f>IF(ISNUMBER(J436), J436, IFERROR(INDEX(FICHAS!$A:$AAA, MATCH(A436, FICHAS!$A:$A, 0), MATCH("✏️ UF DISTRIBUIR (Escriba Aquí)", FICHAS!$3:$3, 0)) / COUNTIF(A:A, A436), 0))</f>
        <v>0</v>
      </c>
      <c r="J436" s="3"/>
      <c r="K436" s="4">
        <f t="shared" si="6"/>
        <v>0</v>
      </c>
    </row>
    <row r="437" spans="1:11" ht="19.95" customHeight="1" x14ac:dyDescent="0.3">
      <c r="A437" s="3"/>
      <c r="B437" s="3"/>
      <c r="C437" s="4"/>
      <c r="D437" s="4"/>
      <c r="E437" s="4"/>
      <c r="F437" s="4"/>
      <c r="G437" s="4"/>
      <c r="H437" s="4"/>
      <c r="I437" s="4">
        <f>IF(ISNUMBER(J437), J437, IFERROR(INDEX(FICHAS!$A:$AAA, MATCH(A437, FICHAS!$A:$A, 0), MATCH("✏️ UF DISTRIBUIR (Escriba Aquí)", FICHAS!$3:$3, 0)) / COUNTIF(A:A, A437), 0))</f>
        <v>0</v>
      </c>
      <c r="J437" s="3"/>
      <c r="K437" s="4">
        <f t="shared" si="6"/>
        <v>0</v>
      </c>
    </row>
    <row r="438" spans="1:11" ht="19.95" customHeight="1" x14ac:dyDescent="0.3">
      <c r="A438" s="3"/>
      <c r="B438" s="3"/>
      <c r="C438" s="4"/>
      <c r="D438" s="4"/>
      <c r="E438" s="4"/>
      <c r="F438" s="4"/>
      <c r="G438" s="4"/>
      <c r="H438" s="4"/>
      <c r="I438" s="4">
        <f>IF(ISNUMBER(J438), J438, IFERROR(INDEX(FICHAS!$A:$AAA, MATCH(A438, FICHAS!$A:$A, 0), MATCH("✏️ UF DISTRIBUIR (Escriba Aquí)", FICHAS!$3:$3, 0)) / COUNTIF(A:A, A438), 0))</f>
        <v>0</v>
      </c>
      <c r="J438" s="3"/>
      <c r="K438" s="4">
        <f t="shared" si="6"/>
        <v>0</v>
      </c>
    </row>
    <row r="439" spans="1:11" ht="19.95" customHeight="1" x14ac:dyDescent="0.3">
      <c r="A439" s="3"/>
      <c r="B439" s="3"/>
      <c r="C439" s="4"/>
      <c r="D439" s="4"/>
      <c r="E439" s="4"/>
      <c r="F439" s="4"/>
      <c r="G439" s="4"/>
      <c r="H439" s="4"/>
      <c r="I439" s="4">
        <f>IF(ISNUMBER(J439), J439, IFERROR(INDEX(FICHAS!$A:$AAA, MATCH(A439, FICHAS!$A:$A, 0), MATCH("✏️ UF DISTRIBUIR (Escriba Aquí)", FICHAS!$3:$3, 0)) / COUNTIF(A:A, A439), 0))</f>
        <v>0</v>
      </c>
      <c r="J439" s="3"/>
      <c r="K439" s="4">
        <f t="shared" si="6"/>
        <v>0</v>
      </c>
    </row>
    <row r="440" spans="1:11" ht="19.95" customHeight="1" x14ac:dyDescent="0.3">
      <c r="A440" s="3"/>
      <c r="B440" s="3"/>
      <c r="C440" s="4"/>
      <c r="D440" s="4"/>
      <c r="E440" s="4"/>
      <c r="F440" s="4"/>
      <c r="G440" s="4"/>
      <c r="H440" s="4"/>
      <c r="I440" s="4">
        <f>IF(ISNUMBER(J440), J440, IFERROR(INDEX(FICHAS!$A:$AAA, MATCH(A440, FICHAS!$A:$A, 0), MATCH("✏️ UF DISTRIBUIR (Escriba Aquí)", FICHAS!$3:$3, 0)) / COUNTIF(A:A, A440), 0))</f>
        <v>0</v>
      </c>
      <c r="J440" s="3"/>
      <c r="K440" s="4">
        <f t="shared" si="6"/>
        <v>0</v>
      </c>
    </row>
    <row r="441" spans="1:11" ht="19.95" customHeight="1" x14ac:dyDescent="0.3">
      <c r="A441" s="3"/>
      <c r="B441" s="3"/>
      <c r="C441" s="4"/>
      <c r="D441" s="4"/>
      <c r="E441" s="4"/>
      <c r="F441" s="4"/>
      <c r="G441" s="4"/>
      <c r="H441" s="4"/>
      <c r="I441" s="4">
        <f>IF(ISNUMBER(J441), J441, IFERROR(INDEX(FICHAS!$A:$AAA, MATCH(A441, FICHAS!$A:$A, 0), MATCH("✏️ UF DISTRIBUIR (Escriba Aquí)", FICHAS!$3:$3, 0)) / COUNTIF(A:A, A441), 0))</f>
        <v>0</v>
      </c>
      <c r="J441" s="3"/>
      <c r="K441" s="4">
        <f t="shared" si="6"/>
        <v>0</v>
      </c>
    </row>
    <row r="442" spans="1:11" ht="19.95" customHeight="1" x14ac:dyDescent="0.3">
      <c r="A442" s="3"/>
      <c r="B442" s="3"/>
      <c r="C442" s="4"/>
      <c r="D442" s="4"/>
      <c r="E442" s="4"/>
      <c r="F442" s="4"/>
      <c r="G442" s="4"/>
      <c r="H442" s="4"/>
      <c r="I442" s="4">
        <f>IF(ISNUMBER(J442), J442, IFERROR(INDEX(FICHAS!$A:$AAA, MATCH(A442, FICHAS!$A:$A, 0), MATCH("✏️ UF DISTRIBUIR (Escriba Aquí)", FICHAS!$3:$3, 0)) / COUNTIF(A:A, A442), 0))</f>
        <v>0</v>
      </c>
      <c r="J442" s="3"/>
      <c r="K442" s="4">
        <f t="shared" si="6"/>
        <v>0</v>
      </c>
    </row>
    <row r="443" spans="1:11" ht="19.95" customHeight="1" x14ac:dyDescent="0.3">
      <c r="A443" s="3"/>
      <c r="B443" s="3"/>
      <c r="C443" s="4"/>
      <c r="D443" s="4"/>
      <c r="E443" s="4"/>
      <c r="F443" s="4"/>
      <c r="G443" s="4"/>
      <c r="H443" s="4"/>
      <c r="I443" s="4">
        <f>IF(ISNUMBER(J443), J443, IFERROR(INDEX(FICHAS!$A:$AAA, MATCH(A443, FICHAS!$A:$A, 0), MATCH("✏️ UF DISTRIBUIR (Escriba Aquí)", FICHAS!$3:$3, 0)) / COUNTIF(A:A, A443), 0))</f>
        <v>0</v>
      </c>
      <c r="J443" s="3"/>
      <c r="K443" s="4">
        <f t="shared" si="6"/>
        <v>0</v>
      </c>
    </row>
    <row r="444" spans="1:11" ht="19.95" customHeight="1" x14ac:dyDescent="0.3">
      <c r="A444" s="3"/>
      <c r="B444" s="3"/>
      <c r="C444" s="4"/>
      <c r="D444" s="4"/>
      <c r="E444" s="4"/>
      <c r="F444" s="4"/>
      <c r="G444" s="4"/>
      <c r="H444" s="4"/>
      <c r="I444" s="4">
        <f>IF(ISNUMBER(J444), J444, IFERROR(INDEX(FICHAS!$A:$AAA, MATCH(A444, FICHAS!$A:$A, 0), MATCH("✏️ UF DISTRIBUIR (Escriba Aquí)", FICHAS!$3:$3, 0)) / COUNTIF(A:A, A444), 0))</f>
        <v>0</v>
      </c>
      <c r="J444" s="3"/>
      <c r="K444" s="4">
        <f t="shared" si="6"/>
        <v>0</v>
      </c>
    </row>
    <row r="445" spans="1:11" ht="19.95" customHeight="1" x14ac:dyDescent="0.3">
      <c r="A445" s="3"/>
      <c r="B445" s="3"/>
      <c r="C445" s="4"/>
      <c r="D445" s="4"/>
      <c r="E445" s="4"/>
      <c r="F445" s="4"/>
      <c r="G445" s="4"/>
      <c r="H445" s="4"/>
      <c r="I445" s="4">
        <f>IF(ISNUMBER(J445), J445, IFERROR(INDEX(FICHAS!$A:$AAA, MATCH(A445, FICHAS!$A:$A, 0), MATCH("✏️ UF DISTRIBUIR (Escriba Aquí)", FICHAS!$3:$3, 0)) / COUNTIF(A:A, A445), 0))</f>
        <v>0</v>
      </c>
      <c r="J445" s="3"/>
      <c r="K445" s="4">
        <f t="shared" si="6"/>
        <v>0</v>
      </c>
    </row>
    <row r="446" spans="1:11" ht="19.95" customHeight="1" x14ac:dyDescent="0.3">
      <c r="A446" s="3"/>
      <c r="B446" s="3"/>
      <c r="C446" s="4"/>
      <c r="D446" s="4"/>
      <c r="E446" s="4"/>
      <c r="F446" s="4"/>
      <c r="G446" s="4"/>
      <c r="H446" s="4"/>
      <c r="I446" s="4">
        <f>IF(ISNUMBER(J446), J446, IFERROR(INDEX(FICHAS!$A:$AAA, MATCH(A446, FICHAS!$A:$A, 0), MATCH("✏️ UF DISTRIBUIR (Escriba Aquí)", FICHAS!$3:$3, 0)) / COUNTIF(A:A, A446), 0))</f>
        <v>0</v>
      </c>
      <c r="J446" s="3"/>
      <c r="K446" s="4">
        <f t="shared" si="6"/>
        <v>0</v>
      </c>
    </row>
    <row r="447" spans="1:11" ht="19.95" customHeight="1" x14ac:dyDescent="0.3">
      <c r="A447" s="3"/>
      <c r="B447" s="3"/>
      <c r="C447" s="4"/>
      <c r="D447" s="4"/>
      <c r="E447" s="4"/>
      <c r="F447" s="4"/>
      <c r="G447" s="4"/>
      <c r="H447" s="4"/>
      <c r="I447" s="4">
        <f>IF(ISNUMBER(J447), J447, IFERROR(INDEX(FICHAS!$A:$AAA, MATCH(A447, FICHAS!$A:$A, 0), MATCH("✏️ UF DISTRIBUIR (Escriba Aquí)", FICHAS!$3:$3, 0)) / COUNTIF(A:A, A447), 0))</f>
        <v>0</v>
      </c>
      <c r="J447" s="3"/>
      <c r="K447" s="4">
        <f t="shared" si="6"/>
        <v>0</v>
      </c>
    </row>
    <row r="448" spans="1:11" ht="19.95" customHeight="1" x14ac:dyDescent="0.3">
      <c r="A448" s="3"/>
      <c r="B448" s="3"/>
      <c r="C448" s="4"/>
      <c r="D448" s="4"/>
      <c r="E448" s="4"/>
      <c r="F448" s="4"/>
      <c r="G448" s="4"/>
      <c r="H448" s="4"/>
      <c r="I448" s="4">
        <f>IF(ISNUMBER(J448), J448, IFERROR(INDEX(FICHAS!$A:$AAA, MATCH(A448, FICHAS!$A:$A, 0), MATCH("✏️ UF DISTRIBUIR (Escriba Aquí)", FICHAS!$3:$3, 0)) / COUNTIF(A:A, A448), 0))</f>
        <v>0</v>
      </c>
      <c r="J448" s="3"/>
      <c r="K448" s="4">
        <f t="shared" si="6"/>
        <v>0</v>
      </c>
    </row>
    <row r="449" spans="1:11" ht="19.95" customHeight="1" x14ac:dyDescent="0.3">
      <c r="A449" s="3"/>
      <c r="B449" s="3"/>
      <c r="C449" s="4"/>
      <c r="D449" s="4"/>
      <c r="E449" s="4"/>
      <c r="F449" s="4"/>
      <c r="G449" s="4"/>
      <c r="H449" s="4"/>
      <c r="I449" s="4">
        <f>IF(ISNUMBER(J449), J449, IFERROR(INDEX(FICHAS!$A:$AAA, MATCH(A449, FICHAS!$A:$A, 0), MATCH("✏️ UF DISTRIBUIR (Escriba Aquí)", FICHAS!$3:$3, 0)) / COUNTIF(A:A, A449), 0))</f>
        <v>0</v>
      </c>
      <c r="J449" s="3"/>
      <c r="K449" s="4">
        <f t="shared" si="6"/>
        <v>0</v>
      </c>
    </row>
    <row r="450" spans="1:11" ht="19.95" customHeight="1" x14ac:dyDescent="0.3">
      <c r="A450" s="3"/>
      <c r="B450" s="3"/>
      <c r="C450" s="4"/>
      <c r="D450" s="4"/>
      <c r="E450" s="4"/>
      <c r="F450" s="4"/>
      <c r="G450" s="4"/>
      <c r="H450" s="4"/>
      <c r="I450" s="4">
        <f>IF(ISNUMBER(J450), J450, IFERROR(INDEX(FICHAS!$A:$AAA, MATCH(A450, FICHAS!$A:$A, 0), MATCH("✏️ UF DISTRIBUIR (Escriba Aquí)", FICHAS!$3:$3, 0)) / COUNTIF(A:A, A450), 0))</f>
        <v>0</v>
      </c>
      <c r="J450" s="3"/>
      <c r="K450" s="4">
        <f t="shared" si="6"/>
        <v>0</v>
      </c>
    </row>
    <row r="451" spans="1:11" ht="19.95" customHeight="1" x14ac:dyDescent="0.3">
      <c r="A451" s="3"/>
      <c r="B451" s="3"/>
      <c r="C451" s="4"/>
      <c r="D451" s="4"/>
      <c r="E451" s="4"/>
      <c r="F451" s="4"/>
      <c r="G451" s="4"/>
      <c r="H451" s="4"/>
      <c r="I451" s="4">
        <f>IF(ISNUMBER(J451), J451, IFERROR(INDEX(FICHAS!$A:$AAA, MATCH(A451, FICHAS!$A:$A, 0), MATCH("✏️ UF DISTRIBUIR (Escriba Aquí)", FICHAS!$3:$3, 0)) / COUNTIF(A:A, A451), 0))</f>
        <v>0</v>
      </c>
      <c r="J451" s="3"/>
      <c r="K451" s="4">
        <f t="shared" si="6"/>
        <v>0</v>
      </c>
    </row>
    <row r="452" spans="1:11" ht="19.95" customHeight="1" x14ac:dyDescent="0.3">
      <c r="A452" s="3"/>
      <c r="B452" s="3"/>
      <c r="C452" s="4"/>
      <c r="D452" s="4"/>
      <c r="E452" s="4"/>
      <c r="F452" s="4"/>
      <c r="G452" s="4"/>
      <c r="H452" s="4"/>
      <c r="I452" s="4">
        <f>IF(ISNUMBER(J452), J452, IFERROR(INDEX(FICHAS!$A:$AAA, MATCH(A452, FICHAS!$A:$A, 0), MATCH("✏️ UF DISTRIBUIR (Escriba Aquí)", FICHAS!$3:$3, 0)) / COUNTIF(A:A, A452), 0))</f>
        <v>0</v>
      </c>
      <c r="J452" s="3"/>
      <c r="K452" s="4">
        <f t="shared" si="6"/>
        <v>0</v>
      </c>
    </row>
    <row r="453" spans="1:11" ht="19.95" customHeight="1" x14ac:dyDescent="0.3">
      <c r="A453" s="3"/>
      <c r="B453" s="3"/>
      <c r="C453" s="4"/>
      <c r="D453" s="4"/>
      <c r="E453" s="4"/>
      <c r="F453" s="4"/>
      <c r="G453" s="4"/>
      <c r="H453" s="4"/>
      <c r="I453" s="4">
        <f>IF(ISNUMBER(J453), J453, IFERROR(INDEX(FICHAS!$A:$AAA, MATCH(A453, FICHAS!$A:$A, 0), MATCH("✏️ UF DISTRIBUIR (Escriba Aquí)", FICHAS!$3:$3, 0)) / COUNTIF(A:A, A453), 0))</f>
        <v>0</v>
      </c>
      <c r="J453" s="3"/>
      <c r="K453" s="4">
        <f t="shared" si="6"/>
        <v>0</v>
      </c>
    </row>
    <row r="454" spans="1:11" ht="19.95" customHeight="1" x14ac:dyDescent="0.3">
      <c r="A454" s="3"/>
      <c r="B454" s="3"/>
      <c r="C454" s="4"/>
      <c r="D454" s="4"/>
      <c r="E454" s="4"/>
      <c r="F454" s="4"/>
      <c r="G454" s="4"/>
      <c r="H454" s="4"/>
      <c r="I454" s="4">
        <f>IF(ISNUMBER(J454), J454, IFERROR(INDEX(FICHAS!$A:$AAA, MATCH(A454, FICHAS!$A:$A, 0), MATCH("✏️ UF DISTRIBUIR (Escriba Aquí)", FICHAS!$3:$3, 0)) / COUNTIF(A:A, A454), 0))</f>
        <v>0</v>
      </c>
      <c r="J454" s="3"/>
      <c r="K454" s="4">
        <f t="shared" si="6"/>
        <v>0</v>
      </c>
    </row>
    <row r="455" spans="1:11" ht="19.95" customHeight="1" x14ac:dyDescent="0.3">
      <c r="A455" s="3"/>
      <c r="B455" s="3"/>
      <c r="C455" s="4"/>
      <c r="D455" s="4"/>
      <c r="E455" s="4"/>
      <c r="F455" s="4"/>
      <c r="G455" s="4"/>
      <c r="H455" s="4"/>
      <c r="I455" s="4">
        <f>IF(ISNUMBER(J455), J455, IFERROR(INDEX(FICHAS!$A:$AAA, MATCH(A455, FICHAS!$A:$A, 0), MATCH("✏️ UF DISTRIBUIR (Escriba Aquí)", FICHAS!$3:$3, 0)) / COUNTIF(A:A, A455), 0))</f>
        <v>0</v>
      </c>
      <c r="J455" s="3"/>
      <c r="K455" s="4">
        <f t="shared" si="6"/>
        <v>0</v>
      </c>
    </row>
    <row r="456" spans="1:11" ht="19.95" customHeight="1" x14ac:dyDescent="0.3">
      <c r="A456" s="3"/>
      <c r="B456" s="3"/>
      <c r="C456" s="4"/>
      <c r="D456" s="4"/>
      <c r="E456" s="4"/>
      <c r="F456" s="4"/>
      <c r="G456" s="4"/>
      <c r="H456" s="4"/>
      <c r="I456" s="4">
        <f>IF(ISNUMBER(J456), J456, IFERROR(INDEX(FICHAS!$A:$AAA, MATCH(A456, FICHAS!$A:$A, 0), MATCH("✏️ UF DISTRIBUIR (Escriba Aquí)", FICHAS!$3:$3, 0)) / COUNTIF(A:A, A456), 0))</f>
        <v>0</v>
      </c>
      <c r="J456" s="3"/>
      <c r="K456" s="4">
        <f t="shared" si="6"/>
        <v>0</v>
      </c>
    </row>
    <row r="457" spans="1:11" ht="19.95" customHeight="1" x14ac:dyDescent="0.3">
      <c r="A457" s="3"/>
      <c r="B457" s="3"/>
      <c r="C457" s="4"/>
      <c r="D457" s="4"/>
      <c r="E457" s="4"/>
      <c r="F457" s="4"/>
      <c r="G457" s="4"/>
      <c r="H457" s="4"/>
      <c r="I457" s="4">
        <f>IF(ISNUMBER(J457), J457, IFERROR(INDEX(FICHAS!$A:$AAA, MATCH(A457, FICHAS!$A:$A, 0), MATCH("✏️ UF DISTRIBUIR (Escriba Aquí)", FICHAS!$3:$3, 0)) / COUNTIF(A:A, A457), 0))</f>
        <v>0</v>
      </c>
      <c r="J457" s="3"/>
      <c r="K457" s="4">
        <f t="shared" ref="K457:K513" si="7">IF(A457&lt;&gt;"",COUNTIF($A$4:$A$513,A457),0)</f>
        <v>0</v>
      </c>
    </row>
    <row r="458" spans="1:11" ht="19.95" customHeight="1" x14ac:dyDescent="0.3">
      <c r="A458" s="3"/>
      <c r="B458" s="3"/>
      <c r="C458" s="4"/>
      <c r="D458" s="4"/>
      <c r="E458" s="4"/>
      <c r="F458" s="4"/>
      <c r="G458" s="4"/>
      <c r="H458" s="4"/>
      <c r="I458" s="4">
        <f>IF(ISNUMBER(J458), J458, IFERROR(INDEX(FICHAS!$A:$AAA, MATCH(A458, FICHAS!$A:$A, 0), MATCH("✏️ UF DISTRIBUIR (Escriba Aquí)", FICHAS!$3:$3, 0)) / COUNTIF(A:A, A458), 0))</f>
        <v>0</v>
      </c>
      <c r="J458" s="3"/>
      <c r="K458" s="4">
        <f t="shared" si="7"/>
        <v>0</v>
      </c>
    </row>
    <row r="459" spans="1:11" ht="19.95" customHeight="1" x14ac:dyDescent="0.3">
      <c r="A459" s="3"/>
      <c r="B459" s="3"/>
      <c r="C459" s="4"/>
      <c r="D459" s="4"/>
      <c r="E459" s="4"/>
      <c r="F459" s="4"/>
      <c r="G459" s="4"/>
      <c r="H459" s="4"/>
      <c r="I459" s="4">
        <f>IF(ISNUMBER(J459), J459, IFERROR(INDEX(FICHAS!$A:$AAA, MATCH(A459, FICHAS!$A:$A, 0), MATCH("✏️ UF DISTRIBUIR (Escriba Aquí)", FICHAS!$3:$3, 0)) / COUNTIF(A:A, A459), 0))</f>
        <v>0</v>
      </c>
      <c r="J459" s="3"/>
      <c r="K459" s="4">
        <f t="shared" si="7"/>
        <v>0</v>
      </c>
    </row>
    <row r="460" spans="1:11" ht="19.95" customHeight="1" x14ac:dyDescent="0.3">
      <c r="A460" s="3"/>
      <c r="B460" s="3"/>
      <c r="C460" s="4"/>
      <c r="D460" s="4"/>
      <c r="E460" s="4"/>
      <c r="F460" s="4"/>
      <c r="G460" s="4"/>
      <c r="H460" s="4"/>
      <c r="I460" s="4">
        <f>IF(ISNUMBER(J460), J460, IFERROR(INDEX(FICHAS!$A:$AAA, MATCH(A460, FICHAS!$A:$A, 0), MATCH("✏️ UF DISTRIBUIR (Escriba Aquí)", FICHAS!$3:$3, 0)) / COUNTIF(A:A, A460), 0))</f>
        <v>0</v>
      </c>
      <c r="J460" s="3"/>
      <c r="K460" s="4">
        <f t="shared" si="7"/>
        <v>0</v>
      </c>
    </row>
    <row r="461" spans="1:11" ht="19.95" customHeight="1" x14ac:dyDescent="0.3">
      <c r="A461" s="3"/>
      <c r="B461" s="3"/>
      <c r="C461" s="4"/>
      <c r="D461" s="4"/>
      <c r="E461" s="4"/>
      <c r="F461" s="4"/>
      <c r="G461" s="4"/>
      <c r="H461" s="4"/>
      <c r="I461" s="4">
        <f>IF(ISNUMBER(J461), J461, IFERROR(INDEX(FICHAS!$A:$AAA, MATCH(A461, FICHAS!$A:$A, 0), MATCH("✏️ UF DISTRIBUIR (Escriba Aquí)", FICHAS!$3:$3, 0)) / COUNTIF(A:A, A461), 0))</f>
        <v>0</v>
      </c>
      <c r="J461" s="3"/>
      <c r="K461" s="4">
        <f t="shared" si="7"/>
        <v>0</v>
      </c>
    </row>
    <row r="462" spans="1:11" ht="19.95" customHeight="1" x14ac:dyDescent="0.3">
      <c r="A462" s="3"/>
      <c r="B462" s="3"/>
      <c r="C462" s="4"/>
      <c r="D462" s="4"/>
      <c r="E462" s="4"/>
      <c r="F462" s="4"/>
      <c r="G462" s="4"/>
      <c r="H462" s="4"/>
      <c r="I462" s="4">
        <f>IF(ISNUMBER(J462), J462, IFERROR(INDEX(FICHAS!$A:$AAA, MATCH(A462, FICHAS!$A:$A, 0), MATCH("✏️ UF DISTRIBUIR (Escriba Aquí)", FICHAS!$3:$3, 0)) / COUNTIF(A:A, A462), 0))</f>
        <v>0</v>
      </c>
      <c r="J462" s="3"/>
      <c r="K462" s="4">
        <f t="shared" si="7"/>
        <v>0</v>
      </c>
    </row>
    <row r="463" spans="1:11" ht="19.95" customHeight="1" x14ac:dyDescent="0.3">
      <c r="A463" s="3"/>
      <c r="B463" s="3"/>
      <c r="C463" s="4"/>
      <c r="D463" s="4"/>
      <c r="E463" s="4"/>
      <c r="F463" s="4"/>
      <c r="G463" s="4"/>
      <c r="H463" s="4"/>
      <c r="I463" s="4">
        <f>IF(ISNUMBER(J463), J463, IFERROR(INDEX(FICHAS!$A:$AAA, MATCH(A463, FICHAS!$A:$A, 0), MATCH("✏️ UF DISTRIBUIR (Escriba Aquí)", FICHAS!$3:$3, 0)) / COUNTIF(A:A, A463), 0))</f>
        <v>0</v>
      </c>
      <c r="J463" s="3"/>
      <c r="K463" s="4">
        <f t="shared" si="7"/>
        <v>0</v>
      </c>
    </row>
    <row r="464" spans="1:11" ht="19.95" customHeight="1" x14ac:dyDescent="0.3">
      <c r="A464" s="3"/>
      <c r="B464" s="3"/>
      <c r="C464" s="4"/>
      <c r="D464" s="4"/>
      <c r="E464" s="4"/>
      <c r="F464" s="4"/>
      <c r="G464" s="4"/>
      <c r="H464" s="4"/>
      <c r="I464" s="4">
        <f>IF(ISNUMBER(J464), J464, IFERROR(INDEX(FICHAS!$A:$AAA, MATCH(A464, FICHAS!$A:$A, 0), MATCH("✏️ UF DISTRIBUIR (Escriba Aquí)", FICHAS!$3:$3, 0)) / COUNTIF(A:A, A464), 0))</f>
        <v>0</v>
      </c>
      <c r="J464" s="3"/>
      <c r="K464" s="4">
        <f t="shared" si="7"/>
        <v>0</v>
      </c>
    </row>
    <row r="465" spans="1:11" ht="19.95" customHeight="1" x14ac:dyDescent="0.3">
      <c r="A465" s="3"/>
      <c r="B465" s="3"/>
      <c r="C465" s="4"/>
      <c r="D465" s="4"/>
      <c r="E465" s="4"/>
      <c r="F465" s="4"/>
      <c r="G465" s="4"/>
      <c r="H465" s="4"/>
      <c r="I465" s="4">
        <f>IF(ISNUMBER(J465), J465, IFERROR(INDEX(FICHAS!$A:$AAA, MATCH(A465, FICHAS!$A:$A, 0), MATCH("✏️ UF DISTRIBUIR (Escriba Aquí)", FICHAS!$3:$3, 0)) / COUNTIF(A:A, A465), 0))</f>
        <v>0</v>
      </c>
      <c r="J465" s="3"/>
      <c r="K465" s="4">
        <f t="shared" si="7"/>
        <v>0</v>
      </c>
    </row>
    <row r="466" spans="1:11" ht="19.95" customHeight="1" x14ac:dyDescent="0.3">
      <c r="A466" s="3"/>
      <c r="B466" s="3"/>
      <c r="C466" s="4"/>
      <c r="D466" s="4"/>
      <c r="E466" s="4"/>
      <c r="F466" s="4"/>
      <c r="G466" s="4"/>
      <c r="H466" s="4"/>
      <c r="I466" s="4">
        <f>IF(ISNUMBER(J466), J466, IFERROR(INDEX(FICHAS!$A:$AAA, MATCH(A466, FICHAS!$A:$A, 0), MATCH("✏️ UF DISTRIBUIR (Escriba Aquí)", FICHAS!$3:$3, 0)) / COUNTIF(A:A, A466), 0))</f>
        <v>0</v>
      </c>
      <c r="J466" s="3"/>
      <c r="K466" s="4">
        <f t="shared" si="7"/>
        <v>0</v>
      </c>
    </row>
    <row r="467" spans="1:11" ht="19.95" customHeight="1" x14ac:dyDescent="0.3">
      <c r="A467" s="3"/>
      <c r="B467" s="3"/>
      <c r="C467" s="4"/>
      <c r="D467" s="4"/>
      <c r="E467" s="4"/>
      <c r="F467" s="4"/>
      <c r="G467" s="4"/>
      <c r="H467" s="4"/>
      <c r="I467" s="4">
        <f>IF(ISNUMBER(J467), J467, IFERROR(INDEX(FICHAS!$A:$AAA, MATCH(A467, FICHAS!$A:$A, 0), MATCH("✏️ UF DISTRIBUIR (Escriba Aquí)", FICHAS!$3:$3, 0)) / COUNTIF(A:A, A467), 0))</f>
        <v>0</v>
      </c>
      <c r="J467" s="3"/>
      <c r="K467" s="4">
        <f t="shared" si="7"/>
        <v>0</v>
      </c>
    </row>
    <row r="468" spans="1:11" ht="19.95" customHeight="1" x14ac:dyDescent="0.3">
      <c r="A468" s="3"/>
      <c r="B468" s="3"/>
      <c r="C468" s="4"/>
      <c r="D468" s="4"/>
      <c r="E468" s="4"/>
      <c r="F468" s="4"/>
      <c r="G468" s="4"/>
      <c r="H468" s="4"/>
      <c r="I468" s="4">
        <f>IF(ISNUMBER(J468), J468, IFERROR(INDEX(FICHAS!$A:$AAA, MATCH(A468, FICHAS!$A:$A, 0), MATCH("✏️ UF DISTRIBUIR (Escriba Aquí)", FICHAS!$3:$3, 0)) / COUNTIF(A:A, A468), 0))</f>
        <v>0</v>
      </c>
      <c r="J468" s="3"/>
      <c r="K468" s="4">
        <f t="shared" si="7"/>
        <v>0</v>
      </c>
    </row>
    <row r="469" spans="1:11" ht="19.95" customHeight="1" x14ac:dyDescent="0.3">
      <c r="A469" s="3"/>
      <c r="B469" s="3"/>
      <c r="C469" s="4"/>
      <c r="D469" s="4"/>
      <c r="E469" s="4"/>
      <c r="F469" s="4"/>
      <c r="G469" s="4"/>
      <c r="H469" s="4"/>
      <c r="I469" s="4">
        <f>IF(ISNUMBER(J469), J469, IFERROR(INDEX(FICHAS!$A:$AAA, MATCH(A469, FICHAS!$A:$A, 0), MATCH("✏️ UF DISTRIBUIR (Escriba Aquí)", FICHAS!$3:$3, 0)) / COUNTIF(A:A, A469), 0))</f>
        <v>0</v>
      </c>
      <c r="J469" s="3"/>
      <c r="K469" s="4">
        <f t="shared" si="7"/>
        <v>0</v>
      </c>
    </row>
    <row r="470" spans="1:11" ht="19.95" customHeight="1" x14ac:dyDescent="0.3">
      <c r="A470" s="3"/>
      <c r="B470" s="3"/>
      <c r="C470" s="4"/>
      <c r="D470" s="4"/>
      <c r="E470" s="4"/>
      <c r="F470" s="4"/>
      <c r="G470" s="4"/>
      <c r="H470" s="4"/>
      <c r="I470" s="4">
        <f>IF(ISNUMBER(J470), J470, IFERROR(INDEX(FICHAS!$A:$AAA, MATCH(A470, FICHAS!$A:$A, 0), MATCH("✏️ UF DISTRIBUIR (Escriba Aquí)", FICHAS!$3:$3, 0)) / COUNTIF(A:A, A470), 0))</f>
        <v>0</v>
      </c>
      <c r="J470" s="3"/>
      <c r="K470" s="4">
        <f t="shared" si="7"/>
        <v>0</v>
      </c>
    </row>
    <row r="471" spans="1:11" ht="19.95" customHeight="1" x14ac:dyDescent="0.3">
      <c r="A471" s="3"/>
      <c r="B471" s="3"/>
      <c r="C471" s="4"/>
      <c r="D471" s="4"/>
      <c r="E471" s="4"/>
      <c r="F471" s="4"/>
      <c r="G471" s="4"/>
      <c r="H471" s="4"/>
      <c r="I471" s="4">
        <f>IF(ISNUMBER(J471), J471, IFERROR(INDEX(FICHAS!$A:$AAA, MATCH(A471, FICHAS!$A:$A, 0), MATCH("✏️ UF DISTRIBUIR (Escriba Aquí)", FICHAS!$3:$3, 0)) / COUNTIF(A:A, A471), 0))</f>
        <v>0</v>
      </c>
      <c r="J471" s="3"/>
      <c r="K471" s="4">
        <f t="shared" si="7"/>
        <v>0</v>
      </c>
    </row>
    <row r="472" spans="1:11" ht="19.95" customHeight="1" x14ac:dyDescent="0.3">
      <c r="A472" s="3"/>
      <c r="B472" s="3"/>
      <c r="C472" s="4"/>
      <c r="D472" s="4"/>
      <c r="E472" s="4"/>
      <c r="F472" s="4"/>
      <c r="G472" s="4"/>
      <c r="H472" s="4"/>
      <c r="I472" s="4">
        <f>IF(ISNUMBER(J472), J472, IFERROR(INDEX(FICHAS!$A:$AAA, MATCH(A472, FICHAS!$A:$A, 0), MATCH("✏️ UF DISTRIBUIR (Escriba Aquí)", FICHAS!$3:$3, 0)) / COUNTIF(A:A, A472), 0))</f>
        <v>0</v>
      </c>
      <c r="J472" s="3"/>
      <c r="K472" s="4">
        <f t="shared" si="7"/>
        <v>0</v>
      </c>
    </row>
    <row r="473" spans="1:11" ht="19.95" customHeight="1" x14ac:dyDescent="0.3">
      <c r="A473" s="3"/>
      <c r="B473" s="3"/>
      <c r="C473" s="4"/>
      <c r="D473" s="4"/>
      <c r="E473" s="4"/>
      <c r="F473" s="4"/>
      <c r="G473" s="4"/>
      <c r="H473" s="4"/>
      <c r="I473" s="4">
        <f>IF(ISNUMBER(J473), J473, IFERROR(INDEX(FICHAS!$A:$AAA, MATCH(A473, FICHAS!$A:$A, 0), MATCH("✏️ UF DISTRIBUIR (Escriba Aquí)", FICHAS!$3:$3, 0)) / COUNTIF(A:A, A473), 0))</f>
        <v>0</v>
      </c>
      <c r="J473" s="3"/>
      <c r="K473" s="4">
        <f t="shared" si="7"/>
        <v>0</v>
      </c>
    </row>
    <row r="474" spans="1:11" ht="19.95" customHeight="1" x14ac:dyDescent="0.3">
      <c r="A474" s="3"/>
      <c r="B474" s="3"/>
      <c r="C474" s="4"/>
      <c r="D474" s="4"/>
      <c r="E474" s="4"/>
      <c r="F474" s="4"/>
      <c r="G474" s="4"/>
      <c r="H474" s="4"/>
      <c r="I474" s="4">
        <f>IF(ISNUMBER(J474), J474, IFERROR(INDEX(FICHAS!$A:$AAA, MATCH(A474, FICHAS!$A:$A, 0), MATCH("✏️ UF DISTRIBUIR (Escriba Aquí)", FICHAS!$3:$3, 0)) / COUNTIF(A:A, A474), 0))</f>
        <v>0</v>
      </c>
      <c r="J474" s="3"/>
      <c r="K474" s="4">
        <f t="shared" si="7"/>
        <v>0</v>
      </c>
    </row>
    <row r="475" spans="1:11" ht="19.95" customHeight="1" x14ac:dyDescent="0.3">
      <c r="A475" s="3"/>
      <c r="B475" s="3"/>
      <c r="C475" s="4"/>
      <c r="D475" s="4"/>
      <c r="E475" s="4"/>
      <c r="F475" s="4"/>
      <c r="G475" s="4"/>
      <c r="H475" s="4"/>
      <c r="I475" s="4">
        <f>IF(ISNUMBER(J475), J475, IFERROR(INDEX(FICHAS!$A:$AAA, MATCH(A475, FICHAS!$A:$A, 0), MATCH("✏️ UF DISTRIBUIR (Escriba Aquí)", FICHAS!$3:$3, 0)) / COUNTIF(A:A, A475), 0))</f>
        <v>0</v>
      </c>
      <c r="J475" s="3"/>
      <c r="K475" s="4">
        <f t="shared" si="7"/>
        <v>0</v>
      </c>
    </row>
    <row r="476" spans="1:11" ht="19.95" customHeight="1" x14ac:dyDescent="0.3">
      <c r="A476" s="3"/>
      <c r="B476" s="3"/>
      <c r="C476" s="4"/>
      <c r="D476" s="4"/>
      <c r="E476" s="4"/>
      <c r="F476" s="4"/>
      <c r="G476" s="4"/>
      <c r="H476" s="4"/>
      <c r="I476" s="4">
        <f>IF(ISNUMBER(J476), J476, IFERROR(INDEX(FICHAS!$A:$AAA, MATCH(A476, FICHAS!$A:$A, 0), MATCH("✏️ UF DISTRIBUIR (Escriba Aquí)", FICHAS!$3:$3, 0)) / COUNTIF(A:A, A476), 0))</f>
        <v>0</v>
      </c>
      <c r="J476" s="3"/>
      <c r="K476" s="4">
        <f t="shared" si="7"/>
        <v>0</v>
      </c>
    </row>
    <row r="477" spans="1:11" ht="19.95" customHeight="1" x14ac:dyDescent="0.3">
      <c r="A477" s="3"/>
      <c r="B477" s="3"/>
      <c r="C477" s="4"/>
      <c r="D477" s="4"/>
      <c r="E477" s="4"/>
      <c r="F477" s="4"/>
      <c r="G477" s="4"/>
      <c r="H477" s="4"/>
      <c r="I477" s="4">
        <f>IF(ISNUMBER(J477), J477, IFERROR(INDEX(FICHAS!$A:$AAA, MATCH(A477, FICHAS!$A:$A, 0), MATCH("✏️ UF DISTRIBUIR (Escriba Aquí)", FICHAS!$3:$3, 0)) / COUNTIF(A:A, A477), 0))</f>
        <v>0</v>
      </c>
      <c r="J477" s="3"/>
      <c r="K477" s="4">
        <f t="shared" si="7"/>
        <v>0</v>
      </c>
    </row>
    <row r="478" spans="1:11" ht="19.95" customHeight="1" x14ac:dyDescent="0.3">
      <c r="A478" s="3"/>
      <c r="B478" s="3"/>
      <c r="C478" s="4"/>
      <c r="D478" s="4"/>
      <c r="E478" s="4"/>
      <c r="F478" s="4"/>
      <c r="G478" s="4"/>
      <c r="H478" s="4"/>
      <c r="I478" s="4">
        <f>IF(ISNUMBER(J478), J478, IFERROR(INDEX(FICHAS!$A:$AAA, MATCH(A478, FICHAS!$A:$A, 0), MATCH("✏️ UF DISTRIBUIR (Escriba Aquí)", FICHAS!$3:$3, 0)) / COUNTIF(A:A, A478), 0))</f>
        <v>0</v>
      </c>
      <c r="J478" s="3"/>
      <c r="K478" s="4">
        <f t="shared" si="7"/>
        <v>0</v>
      </c>
    </row>
    <row r="479" spans="1:11" ht="19.95" customHeight="1" x14ac:dyDescent="0.3">
      <c r="A479" s="3"/>
      <c r="B479" s="3"/>
      <c r="C479" s="4"/>
      <c r="D479" s="4"/>
      <c r="E479" s="4"/>
      <c r="F479" s="4"/>
      <c r="G479" s="4"/>
      <c r="H479" s="4"/>
      <c r="I479" s="4">
        <f>IF(ISNUMBER(J479), J479, IFERROR(INDEX(FICHAS!$A:$AAA, MATCH(A479, FICHAS!$A:$A, 0), MATCH("✏️ UF DISTRIBUIR (Escriba Aquí)", FICHAS!$3:$3, 0)) / COUNTIF(A:A, A479), 0))</f>
        <v>0</v>
      </c>
      <c r="J479" s="3"/>
      <c r="K479" s="4">
        <f t="shared" si="7"/>
        <v>0</v>
      </c>
    </row>
    <row r="480" spans="1:11" ht="19.95" customHeight="1" x14ac:dyDescent="0.3">
      <c r="A480" s="3"/>
      <c r="B480" s="3"/>
      <c r="C480" s="4"/>
      <c r="D480" s="4"/>
      <c r="E480" s="4"/>
      <c r="F480" s="4"/>
      <c r="G480" s="4"/>
      <c r="H480" s="4"/>
      <c r="I480" s="4">
        <f>IF(ISNUMBER(J480), J480, IFERROR(INDEX(FICHAS!$A:$AAA, MATCH(A480, FICHAS!$A:$A, 0), MATCH("✏️ UF DISTRIBUIR (Escriba Aquí)", FICHAS!$3:$3, 0)) / COUNTIF(A:A, A480), 0))</f>
        <v>0</v>
      </c>
      <c r="J480" s="3"/>
      <c r="K480" s="4">
        <f t="shared" si="7"/>
        <v>0</v>
      </c>
    </row>
    <row r="481" spans="1:11" ht="19.95" customHeight="1" x14ac:dyDescent="0.3">
      <c r="A481" s="3"/>
      <c r="B481" s="3"/>
      <c r="C481" s="4"/>
      <c r="D481" s="4"/>
      <c r="E481" s="4"/>
      <c r="F481" s="4"/>
      <c r="G481" s="4"/>
      <c r="H481" s="4"/>
      <c r="I481" s="4">
        <f>IF(ISNUMBER(J481), J481, IFERROR(INDEX(FICHAS!$A:$AAA, MATCH(A481, FICHAS!$A:$A, 0), MATCH("✏️ UF DISTRIBUIR (Escriba Aquí)", FICHAS!$3:$3, 0)) / COUNTIF(A:A, A481), 0))</f>
        <v>0</v>
      </c>
      <c r="J481" s="3"/>
      <c r="K481" s="4">
        <f t="shared" si="7"/>
        <v>0</v>
      </c>
    </row>
    <row r="482" spans="1:11" ht="19.95" customHeight="1" x14ac:dyDescent="0.3">
      <c r="A482" s="3"/>
      <c r="B482" s="3"/>
      <c r="C482" s="4"/>
      <c r="D482" s="4"/>
      <c r="E482" s="4"/>
      <c r="F482" s="4"/>
      <c r="G482" s="4"/>
      <c r="H482" s="4"/>
      <c r="I482" s="4">
        <f>IF(ISNUMBER(J482), J482, IFERROR(INDEX(FICHAS!$A:$AAA, MATCH(A482, FICHAS!$A:$A, 0), MATCH("✏️ UF DISTRIBUIR (Escriba Aquí)", FICHAS!$3:$3, 0)) / COUNTIF(A:A, A482), 0))</f>
        <v>0</v>
      </c>
      <c r="J482" s="3"/>
      <c r="K482" s="4">
        <f t="shared" si="7"/>
        <v>0</v>
      </c>
    </row>
    <row r="483" spans="1:11" ht="19.95" customHeight="1" x14ac:dyDescent="0.3">
      <c r="A483" s="3"/>
      <c r="B483" s="3"/>
      <c r="C483" s="4"/>
      <c r="D483" s="4"/>
      <c r="E483" s="4"/>
      <c r="F483" s="4"/>
      <c r="G483" s="4"/>
      <c r="H483" s="4"/>
      <c r="I483" s="4">
        <f>IF(ISNUMBER(J483), J483, IFERROR(INDEX(FICHAS!$A:$AAA, MATCH(A483, FICHAS!$A:$A, 0), MATCH("✏️ UF DISTRIBUIR (Escriba Aquí)", FICHAS!$3:$3, 0)) / COUNTIF(A:A, A483), 0))</f>
        <v>0</v>
      </c>
      <c r="J483" s="3"/>
      <c r="K483" s="4">
        <f t="shared" si="7"/>
        <v>0</v>
      </c>
    </row>
    <row r="484" spans="1:11" ht="19.95" customHeight="1" x14ac:dyDescent="0.3">
      <c r="A484" s="3"/>
      <c r="B484" s="3"/>
      <c r="C484" s="4"/>
      <c r="D484" s="4"/>
      <c r="E484" s="4"/>
      <c r="F484" s="4"/>
      <c r="G484" s="4"/>
      <c r="H484" s="4"/>
      <c r="I484" s="4">
        <f>IF(ISNUMBER(J484), J484, IFERROR(INDEX(FICHAS!$A:$AAA, MATCH(A484, FICHAS!$A:$A, 0), MATCH("✏️ UF DISTRIBUIR (Escriba Aquí)", FICHAS!$3:$3, 0)) / COUNTIF(A:A, A484), 0))</f>
        <v>0</v>
      </c>
      <c r="J484" s="3"/>
      <c r="K484" s="4">
        <f t="shared" si="7"/>
        <v>0</v>
      </c>
    </row>
    <row r="485" spans="1:11" ht="19.95" customHeight="1" x14ac:dyDescent="0.3">
      <c r="A485" s="3"/>
      <c r="B485" s="3"/>
      <c r="C485" s="4"/>
      <c r="D485" s="4"/>
      <c r="E485" s="4"/>
      <c r="F485" s="4"/>
      <c r="G485" s="4"/>
      <c r="H485" s="4"/>
      <c r="I485" s="4">
        <f>IF(ISNUMBER(J485), J485, IFERROR(INDEX(FICHAS!$A:$AAA, MATCH(A485, FICHAS!$A:$A, 0), MATCH("✏️ UF DISTRIBUIR (Escriba Aquí)", FICHAS!$3:$3, 0)) / COUNTIF(A:A, A485), 0))</f>
        <v>0</v>
      </c>
      <c r="J485" s="3"/>
      <c r="K485" s="4">
        <f t="shared" si="7"/>
        <v>0</v>
      </c>
    </row>
    <row r="486" spans="1:11" ht="19.95" customHeight="1" x14ac:dyDescent="0.3">
      <c r="A486" s="3"/>
      <c r="B486" s="3"/>
      <c r="C486" s="4"/>
      <c r="D486" s="4"/>
      <c r="E486" s="4"/>
      <c r="F486" s="4"/>
      <c r="G486" s="4"/>
      <c r="H486" s="4"/>
      <c r="I486" s="4">
        <f>IF(ISNUMBER(J486), J486, IFERROR(INDEX(FICHAS!$A:$AAA, MATCH(A486, FICHAS!$A:$A, 0), MATCH("✏️ UF DISTRIBUIR (Escriba Aquí)", FICHAS!$3:$3, 0)) / COUNTIF(A:A, A486), 0))</f>
        <v>0</v>
      </c>
      <c r="J486" s="3"/>
      <c r="K486" s="4">
        <f t="shared" si="7"/>
        <v>0</v>
      </c>
    </row>
    <row r="487" spans="1:11" ht="19.95" customHeight="1" x14ac:dyDescent="0.3">
      <c r="A487" s="3"/>
      <c r="B487" s="3"/>
      <c r="C487" s="4"/>
      <c r="D487" s="4"/>
      <c r="E487" s="4"/>
      <c r="F487" s="4"/>
      <c r="G487" s="4"/>
      <c r="H487" s="4"/>
      <c r="I487" s="4">
        <f>IF(ISNUMBER(J487), J487, IFERROR(INDEX(FICHAS!$A:$AAA, MATCH(A487, FICHAS!$A:$A, 0), MATCH("✏️ UF DISTRIBUIR (Escriba Aquí)", FICHAS!$3:$3, 0)) / COUNTIF(A:A, A487), 0))</f>
        <v>0</v>
      </c>
      <c r="J487" s="3"/>
      <c r="K487" s="4">
        <f t="shared" si="7"/>
        <v>0</v>
      </c>
    </row>
    <row r="488" spans="1:11" ht="19.95" customHeight="1" x14ac:dyDescent="0.3">
      <c r="A488" s="3"/>
      <c r="B488" s="3"/>
      <c r="C488" s="4"/>
      <c r="D488" s="4"/>
      <c r="E488" s="4"/>
      <c r="F488" s="4"/>
      <c r="G488" s="4"/>
      <c r="H488" s="4"/>
      <c r="I488" s="4">
        <f>IF(ISNUMBER(J488), J488, IFERROR(INDEX(FICHAS!$A:$AAA, MATCH(A488, FICHAS!$A:$A, 0), MATCH("✏️ UF DISTRIBUIR (Escriba Aquí)", FICHAS!$3:$3, 0)) / COUNTIF(A:A, A488), 0))</f>
        <v>0</v>
      </c>
      <c r="J488" s="3"/>
      <c r="K488" s="4">
        <f t="shared" si="7"/>
        <v>0</v>
      </c>
    </row>
    <row r="489" spans="1:11" ht="19.95" customHeight="1" x14ac:dyDescent="0.3">
      <c r="A489" s="3"/>
      <c r="B489" s="3"/>
      <c r="C489" s="4"/>
      <c r="D489" s="4"/>
      <c r="E489" s="4"/>
      <c r="F489" s="4"/>
      <c r="G489" s="4"/>
      <c r="H489" s="4"/>
      <c r="I489" s="4">
        <f>IF(ISNUMBER(J489), J489, IFERROR(INDEX(FICHAS!$A:$AAA, MATCH(A489, FICHAS!$A:$A, 0), MATCH("✏️ UF DISTRIBUIR (Escriba Aquí)", FICHAS!$3:$3, 0)) / COUNTIF(A:A, A489), 0))</f>
        <v>0</v>
      </c>
      <c r="J489" s="3"/>
      <c r="K489" s="4">
        <f t="shared" si="7"/>
        <v>0</v>
      </c>
    </row>
    <row r="490" spans="1:11" ht="19.95" customHeight="1" x14ac:dyDescent="0.3">
      <c r="A490" s="3"/>
      <c r="B490" s="3"/>
      <c r="C490" s="4"/>
      <c r="D490" s="4"/>
      <c r="E490" s="4"/>
      <c r="F490" s="4"/>
      <c r="G490" s="4"/>
      <c r="H490" s="4"/>
      <c r="I490" s="4">
        <f>IF(ISNUMBER(J490), J490, IFERROR(INDEX(FICHAS!$A:$AAA, MATCH(A490, FICHAS!$A:$A, 0), MATCH("✏️ UF DISTRIBUIR (Escriba Aquí)", FICHAS!$3:$3, 0)) / COUNTIF(A:A, A490), 0))</f>
        <v>0</v>
      </c>
      <c r="J490" s="3"/>
      <c r="K490" s="4">
        <f t="shared" si="7"/>
        <v>0</v>
      </c>
    </row>
    <row r="491" spans="1:11" ht="19.95" customHeight="1" x14ac:dyDescent="0.3">
      <c r="A491" s="3"/>
      <c r="B491" s="3"/>
      <c r="C491" s="4"/>
      <c r="D491" s="4"/>
      <c r="E491" s="4"/>
      <c r="F491" s="4"/>
      <c r="G491" s="4"/>
      <c r="H491" s="4"/>
      <c r="I491" s="4">
        <f>IF(ISNUMBER(J491), J491, IFERROR(INDEX(FICHAS!$A:$AAA, MATCH(A491, FICHAS!$A:$A, 0), MATCH("✏️ UF DISTRIBUIR (Escriba Aquí)", FICHAS!$3:$3, 0)) / COUNTIF(A:A, A491), 0))</f>
        <v>0</v>
      </c>
      <c r="J491" s="3"/>
      <c r="K491" s="4">
        <f t="shared" si="7"/>
        <v>0</v>
      </c>
    </row>
    <row r="492" spans="1:11" ht="19.95" customHeight="1" x14ac:dyDescent="0.3">
      <c r="A492" s="3"/>
      <c r="B492" s="3"/>
      <c r="C492" s="4"/>
      <c r="D492" s="4"/>
      <c r="E492" s="4"/>
      <c r="F492" s="4"/>
      <c r="G492" s="4"/>
      <c r="H492" s="4"/>
      <c r="I492" s="4">
        <f>IF(ISNUMBER(J492), J492, IFERROR(INDEX(FICHAS!$A:$AAA, MATCH(A492, FICHAS!$A:$A, 0), MATCH("✏️ UF DISTRIBUIR (Escriba Aquí)", FICHAS!$3:$3, 0)) / COUNTIF(A:A, A492), 0))</f>
        <v>0</v>
      </c>
      <c r="J492" s="3"/>
      <c r="K492" s="4">
        <f t="shared" si="7"/>
        <v>0</v>
      </c>
    </row>
    <row r="493" spans="1:11" ht="19.95" customHeight="1" x14ac:dyDescent="0.3">
      <c r="A493" s="3"/>
      <c r="B493" s="3"/>
      <c r="C493" s="4"/>
      <c r="D493" s="4"/>
      <c r="E493" s="4"/>
      <c r="F493" s="4"/>
      <c r="G493" s="4"/>
      <c r="H493" s="4"/>
      <c r="I493" s="4">
        <f>IF(ISNUMBER(J493), J493, IFERROR(INDEX(FICHAS!$A:$AAA, MATCH(A493, FICHAS!$A:$A, 0), MATCH("✏️ UF DISTRIBUIR (Escriba Aquí)", FICHAS!$3:$3, 0)) / COUNTIF(A:A, A493), 0))</f>
        <v>0</v>
      </c>
      <c r="J493" s="3"/>
      <c r="K493" s="4">
        <f t="shared" si="7"/>
        <v>0</v>
      </c>
    </row>
    <row r="494" spans="1:11" ht="19.95" customHeight="1" x14ac:dyDescent="0.3">
      <c r="A494" s="3"/>
      <c r="B494" s="3"/>
      <c r="C494" s="4"/>
      <c r="D494" s="4"/>
      <c r="E494" s="4"/>
      <c r="F494" s="4"/>
      <c r="G494" s="4"/>
      <c r="H494" s="4"/>
      <c r="I494" s="4">
        <f>IF(ISNUMBER(J494), J494, IFERROR(INDEX(FICHAS!$A:$AAA, MATCH(A494, FICHAS!$A:$A, 0), MATCH("✏️ UF DISTRIBUIR (Escriba Aquí)", FICHAS!$3:$3, 0)) / COUNTIF(A:A, A494), 0))</f>
        <v>0</v>
      </c>
      <c r="J494" s="3"/>
      <c r="K494" s="4">
        <f t="shared" si="7"/>
        <v>0</v>
      </c>
    </row>
    <row r="495" spans="1:11" ht="19.95" customHeight="1" x14ac:dyDescent="0.3">
      <c r="A495" s="3"/>
      <c r="B495" s="3"/>
      <c r="C495" s="4"/>
      <c r="D495" s="4"/>
      <c r="E495" s="4"/>
      <c r="F495" s="4"/>
      <c r="G495" s="4"/>
      <c r="H495" s="4"/>
      <c r="I495" s="4">
        <f>IF(ISNUMBER(J495), J495, IFERROR(INDEX(FICHAS!$A:$AAA, MATCH(A495, FICHAS!$A:$A, 0), MATCH("✏️ UF DISTRIBUIR (Escriba Aquí)", FICHAS!$3:$3, 0)) / COUNTIF(A:A, A495), 0))</f>
        <v>0</v>
      </c>
      <c r="J495" s="3"/>
      <c r="K495" s="4">
        <f t="shared" si="7"/>
        <v>0</v>
      </c>
    </row>
    <row r="496" spans="1:11" ht="19.95" customHeight="1" x14ac:dyDescent="0.3">
      <c r="A496" s="3"/>
      <c r="B496" s="3"/>
      <c r="C496" s="4"/>
      <c r="D496" s="4"/>
      <c r="E496" s="4"/>
      <c r="F496" s="4"/>
      <c r="G496" s="4"/>
      <c r="H496" s="4"/>
      <c r="I496" s="4">
        <f>IF(ISNUMBER(J496), J496, IFERROR(INDEX(FICHAS!$A:$AAA, MATCH(A496, FICHAS!$A:$A, 0), MATCH("✏️ UF DISTRIBUIR (Escriba Aquí)", FICHAS!$3:$3, 0)) / COUNTIF(A:A, A496), 0))</f>
        <v>0</v>
      </c>
      <c r="J496" s="3"/>
      <c r="K496" s="4">
        <f t="shared" si="7"/>
        <v>0</v>
      </c>
    </row>
    <row r="497" spans="1:11" ht="19.95" customHeight="1" x14ac:dyDescent="0.3">
      <c r="A497" s="3"/>
      <c r="B497" s="3"/>
      <c r="C497" s="4"/>
      <c r="D497" s="4"/>
      <c r="E497" s="4"/>
      <c r="F497" s="4"/>
      <c r="G497" s="4"/>
      <c r="H497" s="4"/>
      <c r="I497" s="4">
        <f>IF(ISNUMBER(J497), J497, IFERROR(INDEX(FICHAS!$A:$AAA, MATCH(A497, FICHAS!$A:$A, 0), MATCH("✏️ UF DISTRIBUIR (Escriba Aquí)", FICHAS!$3:$3, 0)) / COUNTIF(A:A, A497), 0))</f>
        <v>0</v>
      </c>
      <c r="J497" s="3"/>
      <c r="K497" s="4">
        <f t="shared" si="7"/>
        <v>0</v>
      </c>
    </row>
    <row r="498" spans="1:11" ht="19.95" customHeight="1" x14ac:dyDescent="0.3">
      <c r="A498" s="3"/>
      <c r="B498" s="3"/>
      <c r="C498" s="4"/>
      <c r="D498" s="4"/>
      <c r="E498" s="4"/>
      <c r="F498" s="4"/>
      <c r="G498" s="4"/>
      <c r="H498" s="4"/>
      <c r="I498" s="4">
        <f>IF(ISNUMBER(J498), J498, IFERROR(INDEX(FICHAS!$A:$AAA, MATCH(A498, FICHAS!$A:$A, 0), MATCH("✏️ UF DISTRIBUIR (Escriba Aquí)", FICHAS!$3:$3, 0)) / COUNTIF(A:A, A498), 0))</f>
        <v>0</v>
      </c>
      <c r="J498" s="3"/>
      <c r="K498" s="4">
        <f t="shared" si="7"/>
        <v>0</v>
      </c>
    </row>
    <row r="499" spans="1:11" ht="19.95" customHeight="1" x14ac:dyDescent="0.3">
      <c r="A499" s="3"/>
      <c r="B499" s="3"/>
      <c r="C499" s="4"/>
      <c r="D499" s="4"/>
      <c r="E499" s="4"/>
      <c r="F499" s="4"/>
      <c r="G499" s="4"/>
      <c r="H499" s="4"/>
      <c r="I499" s="4">
        <f>IF(ISNUMBER(J499), J499, IFERROR(INDEX(FICHAS!$A:$AAA, MATCH(A499, FICHAS!$A:$A, 0), MATCH("✏️ UF DISTRIBUIR (Escriba Aquí)", FICHAS!$3:$3, 0)) / COUNTIF(A:A, A499), 0))</f>
        <v>0</v>
      </c>
      <c r="J499" s="3"/>
      <c r="K499" s="4">
        <f t="shared" si="7"/>
        <v>0</v>
      </c>
    </row>
    <row r="500" spans="1:11" ht="19.95" customHeight="1" x14ac:dyDescent="0.3">
      <c r="A500" s="3"/>
      <c r="B500" s="3"/>
      <c r="C500" s="4"/>
      <c r="D500" s="4"/>
      <c r="E500" s="4"/>
      <c r="F500" s="4"/>
      <c r="G500" s="4"/>
      <c r="H500" s="4"/>
      <c r="I500" s="4">
        <f>IF(ISNUMBER(J500), J500, IFERROR(INDEX(FICHAS!$A:$AAA, MATCH(A500, FICHAS!$A:$A, 0), MATCH("✏️ UF DISTRIBUIR (Escriba Aquí)", FICHAS!$3:$3, 0)) / COUNTIF(A:A, A500), 0))</f>
        <v>0</v>
      </c>
      <c r="J500" s="3"/>
      <c r="K500" s="4">
        <f t="shared" si="7"/>
        <v>0</v>
      </c>
    </row>
    <row r="501" spans="1:11" ht="19.95" customHeight="1" x14ac:dyDescent="0.3">
      <c r="A501" s="3"/>
      <c r="B501" s="3"/>
      <c r="C501" s="4"/>
      <c r="D501" s="4"/>
      <c r="E501" s="4"/>
      <c r="F501" s="4"/>
      <c r="G501" s="4"/>
      <c r="H501" s="4"/>
      <c r="I501" s="4">
        <f>IF(ISNUMBER(J501), J501, IFERROR(INDEX(FICHAS!$A:$AAA, MATCH(A501, FICHAS!$A:$A, 0), MATCH("✏️ UF DISTRIBUIR (Escriba Aquí)", FICHAS!$3:$3, 0)) / COUNTIF(A:A, A501), 0))</f>
        <v>0</v>
      </c>
      <c r="J501" s="3"/>
      <c r="K501" s="4">
        <f t="shared" si="7"/>
        <v>0</v>
      </c>
    </row>
    <row r="502" spans="1:11" ht="19.95" customHeight="1" x14ac:dyDescent="0.3">
      <c r="A502" s="3"/>
      <c r="B502" s="3"/>
      <c r="C502" s="4"/>
      <c r="D502" s="4"/>
      <c r="E502" s="4"/>
      <c r="F502" s="4"/>
      <c r="G502" s="4"/>
      <c r="H502" s="4"/>
      <c r="I502" s="4">
        <f>IF(ISNUMBER(J502), J502, IFERROR(INDEX(FICHAS!$A:$AAA, MATCH(A502, FICHAS!$A:$A, 0), MATCH("✏️ UF DISTRIBUIR (Escriba Aquí)", FICHAS!$3:$3, 0)) / COUNTIF(A:A, A502), 0))</f>
        <v>0</v>
      </c>
      <c r="J502" s="3"/>
      <c r="K502" s="4">
        <f t="shared" si="7"/>
        <v>0</v>
      </c>
    </row>
    <row r="503" spans="1:11" ht="19.95" customHeight="1" x14ac:dyDescent="0.3">
      <c r="A503" s="3"/>
      <c r="B503" s="3"/>
      <c r="C503" s="4"/>
      <c r="D503" s="4"/>
      <c r="E503" s="4"/>
      <c r="F503" s="4"/>
      <c r="G503" s="4"/>
      <c r="H503" s="4"/>
      <c r="I503" s="4">
        <f>IF(ISNUMBER(J503), J503, IFERROR(INDEX(FICHAS!$A:$AAA, MATCH(A503, FICHAS!$A:$A, 0), MATCH("✏️ UF DISTRIBUIR (Escriba Aquí)", FICHAS!$3:$3, 0)) / COUNTIF(A:A, A503), 0))</f>
        <v>0</v>
      </c>
      <c r="J503" s="3"/>
      <c r="K503" s="4">
        <f t="shared" si="7"/>
        <v>0</v>
      </c>
    </row>
    <row r="504" spans="1:11" ht="19.95" customHeight="1" x14ac:dyDescent="0.3">
      <c r="A504" s="3"/>
      <c r="B504" s="3"/>
      <c r="C504" s="4"/>
      <c r="D504" s="4"/>
      <c r="E504" s="4"/>
      <c r="F504" s="4"/>
      <c r="G504" s="4"/>
      <c r="H504" s="4"/>
      <c r="I504" s="4">
        <f>IF(ISNUMBER(J504), J504, IFERROR(INDEX(FICHAS!$A:$AAA, MATCH(A504, FICHAS!$A:$A, 0), MATCH("✏️ UF DISTRIBUIR (Escriba Aquí)", FICHAS!$3:$3, 0)) / COUNTIF(A:A, A504), 0))</f>
        <v>0</v>
      </c>
      <c r="J504" s="3"/>
      <c r="K504" s="4">
        <f t="shared" si="7"/>
        <v>0</v>
      </c>
    </row>
    <row r="505" spans="1:11" ht="19.95" customHeight="1" x14ac:dyDescent="0.3">
      <c r="A505" s="3"/>
      <c r="B505" s="3"/>
      <c r="C505" s="4"/>
      <c r="D505" s="4"/>
      <c r="E505" s="4"/>
      <c r="F505" s="4"/>
      <c r="G505" s="4"/>
      <c r="H505" s="4"/>
      <c r="I505" s="4">
        <f>IF(ISNUMBER(J505), J505, IFERROR(INDEX(FICHAS!$A:$AAA, MATCH(A505, FICHAS!$A:$A, 0), MATCH("✏️ UF DISTRIBUIR (Escriba Aquí)", FICHAS!$3:$3, 0)) / COUNTIF(A:A, A505), 0))</f>
        <v>0</v>
      </c>
      <c r="J505" s="3"/>
      <c r="K505" s="4">
        <f t="shared" si="7"/>
        <v>0</v>
      </c>
    </row>
    <row r="506" spans="1:11" ht="19.95" customHeight="1" x14ac:dyDescent="0.3">
      <c r="A506" s="3"/>
      <c r="B506" s="3"/>
      <c r="C506" s="4"/>
      <c r="D506" s="4"/>
      <c r="E506" s="4"/>
      <c r="F506" s="4"/>
      <c r="G506" s="4"/>
      <c r="H506" s="4"/>
      <c r="I506" s="4">
        <f>IF(ISNUMBER(J506), J506, IFERROR(INDEX(FICHAS!$A:$AAA, MATCH(A506, FICHAS!$A:$A, 0), MATCH("✏️ UF DISTRIBUIR (Escriba Aquí)", FICHAS!$3:$3, 0)) / COUNTIF(A:A, A506), 0))</f>
        <v>0</v>
      </c>
      <c r="J506" s="3"/>
      <c r="K506" s="4">
        <f t="shared" si="7"/>
        <v>0</v>
      </c>
    </row>
    <row r="507" spans="1:11" ht="19.95" customHeight="1" x14ac:dyDescent="0.3">
      <c r="A507" s="3"/>
      <c r="B507" s="3"/>
      <c r="C507" s="4"/>
      <c r="D507" s="4"/>
      <c r="E507" s="4"/>
      <c r="F507" s="4"/>
      <c r="G507" s="4"/>
      <c r="H507" s="4"/>
      <c r="I507" s="4">
        <f>IF(ISNUMBER(J507), J507, IFERROR(INDEX(FICHAS!$A:$AAA, MATCH(A507, FICHAS!$A:$A, 0), MATCH("✏️ UF DISTRIBUIR (Escriba Aquí)", FICHAS!$3:$3, 0)) / COUNTIF(A:A, A507), 0))</f>
        <v>0</v>
      </c>
      <c r="J507" s="3"/>
      <c r="K507" s="4">
        <f t="shared" si="7"/>
        <v>0</v>
      </c>
    </row>
    <row r="508" spans="1:11" ht="19.95" customHeight="1" x14ac:dyDescent="0.3">
      <c r="A508" s="3"/>
      <c r="B508" s="3"/>
      <c r="C508" s="4"/>
      <c r="D508" s="4"/>
      <c r="E508" s="4"/>
      <c r="F508" s="4"/>
      <c r="G508" s="4"/>
      <c r="H508" s="4"/>
      <c r="I508" s="4">
        <f>IF(ISNUMBER(J508), J508, IFERROR(INDEX(FICHAS!$A:$AAA, MATCH(A508, FICHAS!$A:$A, 0), MATCH("✏️ UF DISTRIBUIR (Escriba Aquí)", FICHAS!$3:$3, 0)) / COUNTIF(A:A, A508), 0))</f>
        <v>0</v>
      </c>
      <c r="J508" s="3"/>
      <c r="K508" s="4">
        <f t="shared" si="7"/>
        <v>0</v>
      </c>
    </row>
    <row r="509" spans="1:11" ht="19.95" customHeight="1" x14ac:dyDescent="0.3">
      <c r="A509" s="3"/>
      <c r="B509" s="3"/>
      <c r="C509" s="4"/>
      <c r="D509" s="4"/>
      <c r="E509" s="4"/>
      <c r="F509" s="4"/>
      <c r="G509" s="4"/>
      <c r="H509" s="4"/>
      <c r="I509" s="4">
        <f>IF(ISNUMBER(J509), J509, IFERROR(INDEX(FICHAS!$A:$AAA, MATCH(A509, FICHAS!$A:$A, 0), MATCH("✏️ UF DISTRIBUIR (Escriba Aquí)", FICHAS!$3:$3, 0)) / COUNTIF(A:A, A509), 0))</f>
        <v>0</v>
      </c>
      <c r="J509" s="3"/>
      <c r="K509" s="4">
        <f t="shared" si="7"/>
        <v>0</v>
      </c>
    </row>
    <row r="510" spans="1:11" ht="19.95" customHeight="1" x14ac:dyDescent="0.3">
      <c r="A510" s="3"/>
      <c r="B510" s="3"/>
      <c r="C510" s="4"/>
      <c r="D510" s="4"/>
      <c r="E510" s="4"/>
      <c r="F510" s="4"/>
      <c r="G510" s="4"/>
      <c r="H510" s="4"/>
      <c r="I510" s="4">
        <f>IF(ISNUMBER(J510), J510, IFERROR(INDEX(FICHAS!$A:$AAA, MATCH(A510, FICHAS!$A:$A, 0), MATCH("✏️ UF DISTRIBUIR (Escriba Aquí)", FICHAS!$3:$3, 0)) / COUNTIF(A:A, A510), 0))</f>
        <v>0</v>
      </c>
      <c r="J510" s="3"/>
      <c r="K510" s="4">
        <f t="shared" si="7"/>
        <v>0</v>
      </c>
    </row>
    <row r="511" spans="1:11" ht="19.95" customHeight="1" x14ac:dyDescent="0.3">
      <c r="A511" s="3"/>
      <c r="B511" s="3"/>
      <c r="C511" s="4"/>
      <c r="D511" s="4"/>
      <c r="E511" s="4"/>
      <c r="F511" s="4"/>
      <c r="G511" s="4"/>
      <c r="H511" s="4"/>
      <c r="I511" s="4">
        <f>IF(ISNUMBER(J511), J511, IFERROR(INDEX(FICHAS!$A:$AAA, MATCH(A511, FICHAS!$A:$A, 0), MATCH("✏️ UF DISTRIBUIR (Escriba Aquí)", FICHAS!$3:$3, 0)) / COUNTIF(A:A, A511), 0))</f>
        <v>0</v>
      </c>
      <c r="J511" s="3"/>
      <c r="K511" s="4">
        <f t="shared" si="7"/>
        <v>0</v>
      </c>
    </row>
    <row r="512" spans="1:11" ht="19.95" customHeight="1" x14ac:dyDescent="0.3">
      <c r="A512" s="3"/>
      <c r="B512" s="3"/>
      <c r="C512" s="4"/>
      <c r="D512" s="4"/>
      <c r="E512" s="4"/>
      <c r="F512" s="4"/>
      <c r="G512" s="4"/>
      <c r="H512" s="4"/>
      <c r="I512" s="4">
        <f>IF(ISNUMBER(J512), J512, IFERROR(INDEX(FICHAS!$A:$AAA, MATCH(A512, FICHAS!$A:$A, 0), MATCH("✏️ UF DISTRIBUIR (Escriba Aquí)", FICHAS!$3:$3, 0)) / COUNTIF(A:A, A512), 0))</f>
        <v>0</v>
      </c>
      <c r="J512" s="3"/>
      <c r="K512" s="4">
        <f t="shared" si="7"/>
        <v>0</v>
      </c>
    </row>
    <row r="513" spans="1:11" ht="19.95" customHeight="1" x14ac:dyDescent="0.3">
      <c r="A513" s="3"/>
      <c r="B513" s="3"/>
      <c r="C513" s="4"/>
      <c r="D513" s="4"/>
      <c r="E513" s="4"/>
      <c r="F513" s="4"/>
      <c r="G513" s="4"/>
      <c r="H513" s="4"/>
      <c r="I513" s="4">
        <f>IF(ISNUMBER(J513), J513, IFERROR(INDEX(FICHAS!$A:$AAA, MATCH(A513, FICHAS!$A:$A, 0), MATCH("✏️ UF DISTRIBUIR (Escriba Aquí)", FICHAS!$3:$3, 0)) / COUNTIF(A:A, A513), 0))</f>
        <v>0</v>
      </c>
      <c r="J513" s="3"/>
      <c r="K513" s="4">
        <f t="shared" si="7"/>
        <v>0</v>
      </c>
    </row>
  </sheetData>
  <mergeCells count="2">
    <mergeCell ref="A1:J1"/>
    <mergeCell ref="A2:J2"/>
  </mergeCells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Views>
    <sheetView zoomScaleNormal="100" workbookViewId="0"/>
  </sheetViews>
  <sheetFormatPr baseColWidth="10" defaultColWidth="8.88671875" defaultRowHeight="14.4" customHeight="1" x14ac:dyDescent="0.3"/>
  <cols>
    <col min="1" max="1" width="100" customWidth="1"/>
  </cols>
  <sheetData>
    <row r="1" spans="1:1" ht="18" customHeight="1" x14ac:dyDescent="0.35">
      <c r="A1" s="8" t="s">
        <v>93</v>
      </c>
    </row>
    <row r="2" spans="1:1" x14ac:dyDescent="0.25">
      <c r="A2" s="9" t="s">
        <v>94</v>
      </c>
    </row>
    <row r="3" spans="1:1" x14ac:dyDescent="0.25">
      <c r="A3" s="10" t="s">
        <v>95</v>
      </c>
    </row>
    <row r="4" spans="1:1" x14ac:dyDescent="0.3">
      <c r="A4" s="11" t="s">
        <v>96</v>
      </c>
    </row>
    <row r="5" spans="1:1" x14ac:dyDescent="0.3">
      <c r="A5" s="10" t="s">
        <v>97</v>
      </c>
    </row>
    <row r="6" spans="1:1" x14ac:dyDescent="0.3">
      <c r="A6" s="12" t="s">
        <v>98</v>
      </c>
    </row>
    <row r="7" spans="1:1" x14ac:dyDescent="0.3">
      <c r="A7" s="11" t="s">
        <v>99</v>
      </c>
    </row>
    <row r="8" spans="1:1" x14ac:dyDescent="0.25">
      <c r="A8" s="10" t="s">
        <v>100</v>
      </c>
    </row>
    <row r="9" spans="1:1" x14ac:dyDescent="0.3">
      <c r="A9" s="13" t="s">
        <v>101</v>
      </c>
    </row>
    <row r="10" spans="1:1" x14ac:dyDescent="0.3">
      <c r="A10" s="13" t="s">
        <v>102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zoomScaleNormal="100" workbookViewId="0"/>
  </sheetViews>
  <sheetFormatPr baseColWidth="10" defaultColWidth="8.88671875" defaultRowHeight="14.4" customHeight="1" x14ac:dyDescent="0.3"/>
  <sheetData>
    <row r="1" spans="1:4" x14ac:dyDescent="0.25">
      <c r="A1" t="s">
        <v>103</v>
      </c>
      <c r="B1">
        <v>1</v>
      </c>
      <c r="C1">
        <v>24</v>
      </c>
      <c r="D1">
        <v>12</v>
      </c>
    </row>
    <row r="2" spans="1:4" x14ac:dyDescent="0.25">
      <c r="A2" t="s">
        <v>104</v>
      </c>
      <c r="B2">
        <v>1</v>
      </c>
      <c r="C2">
        <v>24</v>
      </c>
      <c r="D2">
        <v>12</v>
      </c>
    </row>
    <row r="3" spans="1:4" x14ac:dyDescent="0.25">
      <c r="A3" t="s">
        <v>105</v>
      </c>
      <c r="B3">
        <v>1</v>
      </c>
      <c r="C3">
        <v>365</v>
      </c>
      <c r="D3">
        <v>1</v>
      </c>
    </row>
    <row r="4" spans="1:4" x14ac:dyDescent="0.25">
      <c r="A4" t="s">
        <v>106</v>
      </c>
      <c r="B4">
        <v>1</v>
      </c>
      <c r="C4">
        <v>365</v>
      </c>
      <c r="D4">
        <v>1</v>
      </c>
    </row>
    <row r="5" spans="1:4" x14ac:dyDescent="0.25">
      <c r="A5" t="s">
        <v>107</v>
      </c>
      <c r="B5">
        <v>1</v>
      </c>
      <c r="C5">
        <v>52</v>
      </c>
      <c r="D5">
        <v>2</v>
      </c>
    </row>
    <row r="6" spans="1:4" x14ac:dyDescent="0.25">
      <c r="A6" t="s">
        <v>108</v>
      </c>
      <c r="B6">
        <v>1</v>
      </c>
      <c r="C6">
        <v>52</v>
      </c>
      <c r="D6">
        <v>2</v>
      </c>
    </row>
    <row r="7" spans="1:4" x14ac:dyDescent="0.25">
      <c r="A7" t="s">
        <v>52</v>
      </c>
      <c r="B7">
        <v>1</v>
      </c>
      <c r="C7">
        <v>12</v>
      </c>
      <c r="D7">
        <v>3</v>
      </c>
    </row>
    <row r="8" spans="1:4" x14ac:dyDescent="0.25">
      <c r="A8" t="s">
        <v>109</v>
      </c>
      <c r="B8">
        <v>1</v>
      </c>
      <c r="C8">
        <v>12</v>
      </c>
      <c r="D8">
        <v>3</v>
      </c>
    </row>
    <row r="9" spans="1:4" x14ac:dyDescent="0.25">
      <c r="A9" t="s">
        <v>110</v>
      </c>
      <c r="B9">
        <v>2</v>
      </c>
      <c r="C9">
        <v>12</v>
      </c>
      <c r="D9">
        <v>4</v>
      </c>
    </row>
    <row r="10" spans="1:4" x14ac:dyDescent="0.25">
      <c r="A10" t="s">
        <v>111</v>
      </c>
      <c r="B10">
        <v>2</v>
      </c>
      <c r="C10">
        <v>12</v>
      </c>
      <c r="D10">
        <v>4</v>
      </c>
    </row>
    <row r="11" spans="1:4" x14ac:dyDescent="0.25">
      <c r="A11" t="s">
        <v>112</v>
      </c>
      <c r="B11">
        <v>1</v>
      </c>
      <c r="C11">
        <v>4</v>
      </c>
      <c r="D11">
        <v>5</v>
      </c>
    </row>
    <row r="12" spans="1:4" x14ac:dyDescent="0.25">
      <c r="A12" t="s">
        <v>113</v>
      </c>
      <c r="B12">
        <v>1</v>
      </c>
      <c r="C12">
        <v>4</v>
      </c>
      <c r="D12">
        <v>5</v>
      </c>
    </row>
    <row r="13" spans="1:4" x14ac:dyDescent="0.25">
      <c r="A13" t="s">
        <v>114</v>
      </c>
      <c r="B13">
        <v>1</v>
      </c>
      <c r="C13">
        <v>3</v>
      </c>
      <c r="D13">
        <v>6</v>
      </c>
    </row>
    <row r="14" spans="1:4" x14ac:dyDescent="0.25">
      <c r="A14" t="s">
        <v>115</v>
      </c>
      <c r="B14">
        <v>1</v>
      </c>
      <c r="C14">
        <v>3</v>
      </c>
      <c r="D14">
        <v>6</v>
      </c>
    </row>
    <row r="15" spans="1:4" x14ac:dyDescent="0.25">
      <c r="A15" t="s">
        <v>116</v>
      </c>
      <c r="B15">
        <v>1</v>
      </c>
      <c r="C15">
        <v>2</v>
      </c>
      <c r="D15">
        <v>7</v>
      </c>
    </row>
    <row r="16" spans="1:4" x14ac:dyDescent="0.25">
      <c r="A16" t="s">
        <v>117</v>
      </c>
      <c r="B16">
        <v>1</v>
      </c>
      <c r="C16">
        <v>2</v>
      </c>
      <c r="D16">
        <v>7</v>
      </c>
    </row>
    <row r="17" spans="1:4" x14ac:dyDescent="0.25">
      <c r="A17" t="s">
        <v>118</v>
      </c>
      <c r="B17">
        <v>1</v>
      </c>
      <c r="C17">
        <v>1</v>
      </c>
      <c r="D17">
        <v>8</v>
      </c>
    </row>
    <row r="18" spans="1:4" x14ac:dyDescent="0.25">
      <c r="A18" t="s">
        <v>119</v>
      </c>
      <c r="B18">
        <v>1</v>
      </c>
      <c r="C18">
        <v>1</v>
      </c>
      <c r="D18">
        <v>8</v>
      </c>
    </row>
    <row r="19" spans="1:4" x14ac:dyDescent="0.25">
      <c r="A19" t="s">
        <v>120</v>
      </c>
      <c r="B19">
        <v>1</v>
      </c>
      <c r="C19">
        <v>1</v>
      </c>
      <c r="D19">
        <v>9</v>
      </c>
    </row>
    <row r="20" spans="1:4" x14ac:dyDescent="0.25">
      <c r="A20" t="s">
        <v>121</v>
      </c>
      <c r="B20">
        <v>1</v>
      </c>
      <c r="C20">
        <v>1</v>
      </c>
      <c r="D20">
        <v>9</v>
      </c>
    </row>
    <row r="21" spans="1:4" x14ac:dyDescent="0.25">
      <c r="A21" t="s">
        <v>122</v>
      </c>
      <c r="B21">
        <v>1</v>
      </c>
      <c r="C21">
        <v>1</v>
      </c>
      <c r="D21">
        <v>10</v>
      </c>
    </row>
    <row r="22" spans="1:4" x14ac:dyDescent="0.25">
      <c r="A22" t="s">
        <v>123</v>
      </c>
      <c r="B22">
        <v>1</v>
      </c>
      <c r="C22">
        <v>1</v>
      </c>
      <c r="D22">
        <v>10</v>
      </c>
    </row>
    <row r="23" spans="1:4" x14ac:dyDescent="0.25">
      <c r="A23" t="s">
        <v>124</v>
      </c>
      <c r="B23">
        <v>1</v>
      </c>
      <c r="C23">
        <v>6</v>
      </c>
      <c r="D23">
        <v>11</v>
      </c>
    </row>
    <row r="24" spans="1:4" x14ac:dyDescent="0.25">
      <c r="A24" t="s">
        <v>125</v>
      </c>
      <c r="B24">
        <v>1</v>
      </c>
      <c r="C24">
        <v>6</v>
      </c>
      <c r="D24">
        <v>11</v>
      </c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FICHAS</vt:lpstr>
      <vt:lpstr>ANALISIS</vt:lpstr>
      <vt:lpstr>INSTRUCCIONES</vt:lpstr>
      <vt:lpstr>_MAPPINGS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2026-04-29T18:33:54Z</dcterms:created>
  <dcterms:modified xsi:type="dcterms:W3CDTF">2026-04-29T22:28:50Z</dcterms:modified>
  <cp:category/>
</cp:coreProperties>
</file>